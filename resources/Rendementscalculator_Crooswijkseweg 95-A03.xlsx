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 IS" sheetId="1" r:id="rId4"/>
    <sheet state="visible" name="TO BE" sheetId="2" r:id="rId5"/>
    <sheet state="visible" name="BOX3 Belasting 2025" sheetId="3" r:id="rId6"/>
  </sheets>
  <definedNames/>
  <calcPr/>
  <extLst>
    <ext uri="GoogleSheetsCustomDataVersion2">
      <go:sheetsCustomData xmlns:go="http://customooxmlschemas.google.com/" r:id="rId7" roundtripDataChecksum="OyVlF5wipY5GMVBwZyMYxyVVP40XWkN7s05Q9hy8o/s="/>
    </ext>
  </extLst>
</workbook>
</file>

<file path=xl/sharedStrings.xml><?xml version="1.0" encoding="utf-8"?>
<sst xmlns="http://schemas.openxmlformats.org/spreadsheetml/2006/main" count="188" uniqueCount="91">
  <si>
    <t>invullen</t>
  </si>
  <si>
    <t>AANKOOP</t>
  </si>
  <si>
    <t>EXPLOITATIE</t>
  </si>
  <si>
    <t>Aankoopsom</t>
  </si>
  <si>
    <t>investering</t>
  </si>
  <si>
    <t>jaar 1</t>
  </si>
  <si>
    <t>jaar 2</t>
  </si>
  <si>
    <t>jaar 3</t>
  </si>
  <si>
    <t>jaar 4</t>
  </si>
  <si>
    <t>jaar 5</t>
  </si>
  <si>
    <t>jaar 6</t>
  </si>
  <si>
    <t>jaar 7</t>
  </si>
  <si>
    <t>jaar 8</t>
  </si>
  <si>
    <t>jaar 9</t>
  </si>
  <si>
    <t>jaar 10</t>
  </si>
  <si>
    <t>verkoop</t>
  </si>
  <si>
    <t>Overdrachtsbelasting</t>
  </si>
  <si>
    <t>Huur</t>
  </si>
  <si>
    <t>Financieringskosten</t>
  </si>
  <si>
    <t>VVE</t>
  </si>
  <si>
    <t>Notariskosten</t>
  </si>
  <si>
    <t>G/W/L</t>
  </si>
  <si>
    <t>Taxatie</t>
  </si>
  <si>
    <t>Onderhoud</t>
  </si>
  <si>
    <t>Verbouwing + inrichting</t>
  </si>
  <si>
    <t>Verzekering</t>
  </si>
  <si>
    <t>Overige kosten</t>
  </si>
  <si>
    <t>Belasting</t>
  </si>
  <si>
    <t>Totaal benodigd bedrag</t>
  </si>
  <si>
    <t>Beheerkosten</t>
  </si>
  <si>
    <t>Netto opbrengst</t>
  </si>
  <si>
    <t>HYPOTHEEK</t>
  </si>
  <si>
    <t>Marktwaarde verhuurde staat</t>
  </si>
  <si>
    <t>Hypotheekrente</t>
  </si>
  <si>
    <t>Loan-to-value van financiering</t>
  </si>
  <si>
    <t>Aflossing</t>
  </si>
  <si>
    <t>Hoogte hypotheek</t>
  </si>
  <si>
    <t>Leningkosten</t>
  </si>
  <si>
    <t>per jaar</t>
  </si>
  <si>
    <t>Winst (excl aflossing)</t>
  </si>
  <si>
    <t>Totaal eigen geld benodigd</t>
  </si>
  <si>
    <t>Cash Flow (incl aflossing)</t>
  </si>
  <si>
    <t>KOSTEN WONING</t>
  </si>
  <si>
    <t>Hypotheekhoogte</t>
  </si>
  <si>
    <t>per maand</t>
  </si>
  <si>
    <t>Waarde huis</t>
  </si>
  <si>
    <t>G/W/L + Internet</t>
  </si>
  <si>
    <t>Onderhoud (reserve)</t>
  </si>
  <si>
    <t>Overwaarde</t>
  </si>
  <si>
    <t>Loan to Value %</t>
  </si>
  <si>
    <t>Belastingen</t>
  </si>
  <si>
    <t>Huurstijging</t>
  </si>
  <si>
    <t>Waardestijging object</t>
  </si>
  <si>
    <t>RATIO'S</t>
  </si>
  <si>
    <t>ICR</t>
  </si>
  <si>
    <t>DSCR</t>
  </si>
  <si>
    <t>BAR</t>
  </si>
  <si>
    <t>RENDEMENTEN</t>
  </si>
  <si>
    <t>ROI % - Cashflow Only (Jaar 1)</t>
  </si>
  <si>
    <t>Gemiddelde Rendement + waarde stijging (10 jaar)</t>
  </si>
  <si>
    <t>Cashflow € Per maand (Jaar 1)</t>
  </si>
  <si>
    <t>Cashflow € Per maand (Jaar 10)</t>
  </si>
  <si>
    <r>
      <rPr>
        <rFont val="Helvetica Neue"/>
        <sz val="8.0"/>
      </rPr>
      <t xml:space="preserve">Berekeningen op basis van </t>
    </r>
    <r>
      <rPr>
        <rFont val="Helvetica Neue"/>
        <color rgb="FF1155CC"/>
        <sz val="8.0"/>
        <u/>
      </rPr>
      <t>https://www.belastingdienst.nl/wps/wcm/connect/nl/box-3/content/nieuwe-berekening-box-3-inkomen</t>
    </r>
  </si>
  <si>
    <t>REKENSOM</t>
  </si>
  <si>
    <t>INVULLEN</t>
  </si>
  <si>
    <t>BOX 3 BELASTINGDRUK VANAF 2023</t>
  </si>
  <si>
    <t>Stap 1 Bereken Rendement</t>
  </si>
  <si>
    <t>Spaargeld (bank)</t>
  </si>
  <si>
    <t>Grondslag</t>
  </si>
  <si>
    <t>Rendement sparen</t>
  </si>
  <si>
    <t>WOZ Waarde Verhuurobject(en)</t>
  </si>
  <si>
    <t>Rendementspercentage</t>
  </si>
  <si>
    <t>Rendement beleggingen</t>
  </si>
  <si>
    <t>Hypotheek Verhuurobject(en)</t>
  </si>
  <si>
    <t>Rendement Schuld</t>
  </si>
  <si>
    <t>Voordeel uit sparen en beleggen</t>
  </si>
  <si>
    <t>Belastbaar rendement</t>
  </si>
  <si>
    <t>PERCENTAGES EN DREMPELS (NIET INVULLEN)</t>
  </si>
  <si>
    <t>Box 3 Belasting 36% (per jaar)</t>
  </si>
  <si>
    <t>Stap 2: Bereken vermogen</t>
  </si>
  <si>
    <t>Rendement Vermogen</t>
  </si>
  <si>
    <t>Spaargeld</t>
  </si>
  <si>
    <t>WOZ</t>
  </si>
  <si>
    <t>Drempel schuld</t>
  </si>
  <si>
    <t>Hypotheek minus drempel</t>
  </si>
  <si>
    <t>Vermogen</t>
  </si>
  <si>
    <t>Stap 3: Bereken het rendementspercentage</t>
  </si>
  <si>
    <t>Stap 4: Grondslag Sparen en beleggen</t>
  </si>
  <si>
    <t>Bezittingen (spaargeld + woz waarden)</t>
  </si>
  <si>
    <t>Schulden</t>
  </si>
  <si>
    <t>Heffingsvrij vermogen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</si>
</sst>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€&quot;\ * #,##0_);_(&quot;€&quot;\ * \(#,##0\);_(&quot;€&quot;\ * &quot;-&quot;??_);_(@_)"/>
    <numFmt numFmtId="165" formatCode="0.0%"/>
    <numFmt numFmtId="166" formatCode="[$€-2]\ #,##0.00"/>
    <numFmt numFmtId="167" formatCode="[$€-2]\ #,##0"/>
    <numFmt numFmtId="168" formatCode="_(&quot;€&quot;\ * #,##0.00_);_(&quot;€&quot;\ * \(#,##0.00\);_(&quot;€&quot;\ * &quot;-&quot;??_);_(@_)"/>
    <numFmt numFmtId="169" formatCode="[$€]#,##0.00"/>
  </numFmts>
  <fonts count="25">
    <font>
      <sz val="12.0"/>
      <color theme="1"/>
      <name val="Arial"/>
      <scheme val="minor"/>
    </font>
    <font>
      <sz val="10.0"/>
      <color theme="1"/>
      <name val="Helvetica Neue"/>
    </font>
    <font>
      <b/>
      <u/>
      <sz val="10.0"/>
      <color theme="1"/>
      <name val="Helvetica Neue"/>
    </font>
    <font>
      <b/>
      <sz val="10.0"/>
      <color rgb="FFFFFFFF"/>
      <name val="Helvetica Neue"/>
    </font>
    <font>
      <sz val="10.0"/>
      <color rgb="FFFFFFFF"/>
      <name val="Helvetica Neue"/>
    </font>
    <font>
      <u/>
      <sz val="10.0"/>
      <color theme="1"/>
      <name val="Helvetica Neue"/>
    </font>
    <font>
      <b/>
      <sz val="10.0"/>
      <color rgb="FF233A44"/>
      <name val="Helvetica Neue"/>
    </font>
    <font>
      <sz val="12.0"/>
      <color theme="1"/>
      <name val="Helvetica Neue"/>
    </font>
    <font>
      <b/>
      <sz val="10.0"/>
      <color theme="1"/>
      <name val="Helvetica Neue"/>
    </font>
    <font>
      <sz val="12.0"/>
      <color rgb="FFFFFFFF"/>
      <name val="Helvetica Neue"/>
    </font>
    <font>
      <sz val="10.0"/>
      <color rgb="FF000000"/>
      <name val="Helvetica Neue"/>
    </font>
    <font>
      <b/>
      <sz val="12.0"/>
      <color rgb="FFFFFFFF"/>
      <name val="Helvetica Neue"/>
    </font>
    <font>
      <b/>
      <sz val="12.0"/>
      <color theme="1"/>
      <name val="Helvetica Neue"/>
    </font>
    <font>
      <sz val="9.0"/>
      <color theme="1"/>
      <name val="Helvetica Neue"/>
    </font>
    <font>
      <b/>
      <i/>
      <sz val="10.0"/>
      <color theme="1"/>
      <name val="Helvetica Neue"/>
    </font>
    <font>
      <u/>
      <sz val="10.0"/>
      <color theme="1"/>
      <name val="Helvetica Neue"/>
    </font>
    <font>
      <u/>
      <sz val="10.0"/>
      <color theme="1"/>
      <name val="Helvetica Neue"/>
    </font>
    <font>
      <b/>
      <sz val="14.0"/>
      <color theme="1"/>
      <name val="Helvetica Neue"/>
    </font>
    <font>
      <sz val="2.0"/>
      <color theme="1"/>
      <name val="Helvetica Neue"/>
    </font>
    <font>
      <u/>
      <sz val="8.0"/>
      <color rgb="FF0000FF"/>
      <name val="Helvetica Neue"/>
    </font>
    <font>
      <b/>
      <sz val="9.0"/>
      <color rgb="FFFFFFFF"/>
      <name val="Helvetica Neue"/>
    </font>
    <font/>
    <font>
      <sz val="9.0"/>
      <color rgb="FFFFFFFF"/>
      <name val="Helvetica Neue"/>
    </font>
    <font>
      <b/>
      <sz val="9.0"/>
      <color theme="1"/>
      <name val="Helvetica Neue"/>
    </font>
    <font>
      <sz val="14.0"/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</fills>
  <borders count="25">
    <border/>
    <border>
      <left/>
      <right/>
      <top/>
      <bottom/>
    </border>
    <border>
      <left style="medium">
        <color rgb="FF004561"/>
      </left>
      <right/>
      <top style="medium">
        <color rgb="FF004561"/>
      </top>
      <bottom/>
    </border>
    <border>
      <left/>
      <right/>
      <top style="medium">
        <color rgb="FF004561"/>
      </top>
      <bottom/>
    </border>
    <border>
      <left/>
      <right style="medium">
        <color rgb="FF004561"/>
      </right>
      <top style="medium">
        <color rgb="FF004561"/>
      </top>
      <bottom/>
    </border>
    <border>
      <left style="medium">
        <color rgb="FF004561"/>
      </left>
    </border>
    <border>
      <right style="medium">
        <color rgb="FF004561"/>
      </right>
    </border>
    <border>
      <left/>
      <right style="medium">
        <color rgb="FF004561"/>
      </right>
      <top/>
      <bottom/>
    </border>
    <border>
      <left style="medium">
        <color rgb="FF004561"/>
      </left>
      <bottom style="medium">
        <color rgb="FF004561"/>
      </bottom>
    </border>
    <border>
      <bottom style="medium">
        <color rgb="FF004561"/>
      </bottom>
    </border>
    <border>
      <right style="medium">
        <color rgb="FF004561"/>
      </right>
      <bottom style="medium">
        <color rgb="FF004561"/>
      </bottom>
    </border>
    <border>
      <left style="medium">
        <color rgb="FF004561"/>
      </left>
      <top style="medium">
        <color rgb="FF004561"/>
      </top>
    </border>
    <border>
      <top style="medium">
        <color rgb="FF004561"/>
      </top>
    </border>
    <border>
      <right style="medium">
        <color rgb="FF004561"/>
      </right>
      <top style="medium">
        <color rgb="FF004561"/>
      </top>
    </border>
    <border>
      <left style="medium">
        <color rgb="FF004561"/>
      </left>
      <right/>
      <top/>
      <bottom/>
    </border>
    <border>
      <left style="medium">
        <color rgb="FF004561"/>
      </left>
      <top style="medium">
        <color rgb="FF004561"/>
      </top>
      <bottom style="medium">
        <color rgb="FF004561"/>
      </bottom>
    </border>
    <border>
      <top style="medium">
        <color rgb="FF004561"/>
      </top>
      <bottom style="medium">
        <color rgb="FF004561"/>
      </bottom>
    </border>
    <border>
      <right style="medium">
        <color rgb="FF004561"/>
      </right>
      <top style="medium">
        <color rgb="FF004561"/>
      </top>
      <bottom style="medium">
        <color rgb="FF004561"/>
      </bottom>
    </border>
    <border>
      <left style="medium">
        <color rgb="FF004561"/>
      </left>
      <right/>
      <top style="medium">
        <color rgb="FF004561"/>
      </top>
      <bottom style="medium">
        <color rgb="FF004561"/>
      </bottom>
    </border>
    <border>
      <left/>
      <right/>
      <top style="medium">
        <color rgb="FF004561"/>
      </top>
      <bottom style="medium">
        <color rgb="FF004561"/>
      </bottom>
    </border>
    <border>
      <left/>
      <right style="medium">
        <color rgb="FF004561"/>
      </right>
      <top style="medium">
        <color rgb="FF004561"/>
      </top>
      <bottom style="medium">
        <color rgb="FF004561"/>
      </bottom>
    </border>
    <border>
      <left/>
      <right/>
      <top/>
      <bottom style="medium">
        <color rgb="FF004561"/>
      </bottom>
    </border>
    <border>
      <left/>
      <right style="medium">
        <color rgb="FF004561"/>
      </right>
      <top/>
      <bottom style="medium">
        <color rgb="FF004561"/>
      </bottom>
    </border>
    <border>
      <left style="medium">
        <color rgb="FF004561"/>
      </left>
      <top style="medium">
        <color rgb="FF004561"/>
      </top>
      <bottom/>
    </border>
    <border>
      <right style="medium">
        <color rgb="FF004561"/>
      </right>
      <top style="medium">
        <color rgb="FF004561"/>
      </top>
      <bottom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2" fillId="3" fontId="3" numFmtId="0" xfId="0" applyBorder="1" applyFill="1" applyFont="1"/>
    <xf borderId="3" fillId="3" fontId="4" numFmtId="0" xfId="0" applyBorder="1" applyFont="1"/>
    <xf borderId="4" fillId="3" fontId="4" numFmtId="0" xfId="0" applyBorder="1" applyFont="1"/>
    <xf borderId="3" fillId="3" fontId="5" numFmtId="0" xfId="0" applyBorder="1" applyFont="1"/>
    <xf borderId="3" fillId="3" fontId="1" numFmtId="0" xfId="0" applyBorder="1" applyFont="1"/>
    <xf borderId="4" fillId="3" fontId="1" numFmtId="0" xfId="0" applyBorder="1" applyFont="1"/>
    <xf borderId="5" fillId="0" fontId="1" numFmtId="0" xfId="0" applyBorder="1" applyFont="1"/>
    <xf borderId="1" fillId="2" fontId="1" numFmtId="164" xfId="0" applyAlignment="1" applyBorder="1" applyFont="1" applyNumberFormat="1">
      <alignment readingOrder="0"/>
    </xf>
    <xf borderId="6" fillId="0" fontId="1" numFmtId="0" xfId="0" applyBorder="1" applyFont="1"/>
    <xf borderId="1" fillId="3" fontId="3" numFmtId="0" xfId="0" applyAlignment="1" applyBorder="1" applyFont="1">
      <alignment horizontal="center"/>
    </xf>
    <xf borderId="7" fillId="3" fontId="3" numFmtId="0" xfId="0" applyAlignment="1" applyBorder="1" applyFont="1">
      <alignment horizontal="center"/>
    </xf>
    <xf borderId="0" fillId="0" fontId="1" numFmtId="164" xfId="0" applyFont="1" applyNumberFormat="1"/>
    <xf borderId="7" fillId="2" fontId="1" numFmtId="165" xfId="0" applyBorder="1" applyFont="1" applyNumberFormat="1"/>
    <xf borderId="5" fillId="0" fontId="6" numFmtId="0" xfId="0" applyAlignment="1" applyBorder="1" applyFont="1">
      <alignment horizontal="right"/>
    </xf>
    <xf borderId="6" fillId="0" fontId="7" numFmtId="0" xfId="0" applyBorder="1" applyFont="1"/>
    <xf borderId="0" fillId="0" fontId="7" numFmtId="0" xfId="0" applyFont="1"/>
    <xf borderId="1" fillId="2" fontId="1" numFmtId="164" xfId="0" applyBorder="1" applyFont="1" applyNumberFormat="1"/>
    <xf borderId="6" fillId="0" fontId="1" numFmtId="165" xfId="0" applyBorder="1" applyFont="1" applyNumberFormat="1"/>
    <xf borderId="8" fillId="0" fontId="8" numFmtId="0" xfId="0" applyBorder="1" applyFont="1"/>
    <xf borderId="9" fillId="0" fontId="8" numFmtId="164" xfId="0" applyBorder="1" applyFont="1" applyNumberFormat="1"/>
    <xf borderId="10" fillId="0" fontId="7" numFmtId="166" xfId="0" applyBorder="1" applyFont="1" applyNumberFormat="1"/>
    <xf borderId="11" fillId="0" fontId="6" numFmtId="0" xfId="0" applyAlignment="1" applyBorder="1" applyFont="1">
      <alignment horizontal="right"/>
    </xf>
    <xf borderId="12" fillId="0" fontId="1" numFmtId="0" xfId="0" applyBorder="1" applyFont="1"/>
    <xf borderId="12" fillId="0" fontId="1" numFmtId="164" xfId="0" applyBorder="1" applyFont="1" applyNumberFormat="1"/>
    <xf borderId="3" fillId="3" fontId="9" numFmtId="0" xfId="0" applyBorder="1" applyFont="1"/>
    <xf borderId="4" fillId="3" fontId="9" numFmtId="10" xfId="0" applyBorder="1" applyFont="1" applyNumberFormat="1"/>
    <xf borderId="5" fillId="0" fontId="8" numFmtId="0" xfId="0" applyAlignment="1" applyBorder="1" applyFont="1">
      <alignment horizontal="right"/>
    </xf>
    <xf borderId="0" fillId="0" fontId="1" numFmtId="10" xfId="0" applyFont="1" applyNumberFormat="1"/>
    <xf borderId="11" fillId="0" fontId="1" numFmtId="0" xfId="0" applyBorder="1" applyFont="1"/>
    <xf borderId="3" fillId="2" fontId="1" numFmtId="164" xfId="0" applyAlignment="1" applyBorder="1" applyFont="1" applyNumberFormat="1">
      <alignment readingOrder="0"/>
    </xf>
    <xf borderId="13" fillId="0" fontId="1" numFmtId="9" xfId="0" applyBorder="1" applyFont="1" applyNumberFormat="1"/>
    <xf borderId="0" fillId="0" fontId="10" numFmtId="164" xfId="0" applyFont="1" applyNumberFormat="1"/>
    <xf borderId="1" fillId="2" fontId="1" numFmtId="165" xfId="0" applyBorder="1" applyFont="1" applyNumberFormat="1"/>
    <xf borderId="1" fillId="2" fontId="1" numFmtId="10" xfId="0" applyAlignment="1" applyBorder="1" applyFont="1" applyNumberFormat="1">
      <alignment readingOrder="0"/>
    </xf>
    <xf borderId="6" fillId="0" fontId="8" numFmtId="0" xfId="0" applyBorder="1" applyFont="1"/>
    <xf borderId="1" fillId="2" fontId="1" numFmtId="10" xfId="0" applyBorder="1" applyFont="1" applyNumberFormat="1"/>
    <xf borderId="14" fillId="3" fontId="3" numFmtId="167" xfId="0" applyAlignment="1" applyBorder="1" applyFont="1" applyNumberFormat="1">
      <alignment horizontal="right"/>
    </xf>
    <xf borderId="1" fillId="3" fontId="3" numFmtId="167" xfId="0" applyBorder="1" applyFont="1" applyNumberFormat="1"/>
    <xf borderId="7" fillId="4" fontId="11" numFmtId="167" xfId="0" applyBorder="1" applyFill="1" applyFont="1" applyNumberFormat="1"/>
    <xf borderId="15" fillId="0" fontId="8" numFmtId="0" xfId="0" applyAlignment="1" applyBorder="1" applyFont="1">
      <alignment horizontal="right"/>
    </xf>
    <xf borderId="16" fillId="0" fontId="12" numFmtId="164" xfId="0" applyBorder="1" applyFont="1" applyNumberFormat="1"/>
    <xf borderId="17" fillId="0" fontId="1" numFmtId="0" xfId="0" applyBorder="1" applyFont="1"/>
    <xf borderId="5" fillId="0" fontId="8" numFmtId="167" xfId="0" applyAlignment="1" applyBorder="1" applyFont="1" applyNumberFormat="1">
      <alignment horizontal="right"/>
    </xf>
    <xf borderId="1" fillId="4" fontId="11" numFmtId="167" xfId="0" applyBorder="1" applyFont="1" applyNumberFormat="1"/>
    <xf borderId="0" fillId="0" fontId="13" numFmtId="10" xfId="0" applyFont="1" applyNumberFormat="1"/>
    <xf borderId="18" fillId="3" fontId="3" numFmtId="0" xfId="0" applyBorder="1" applyFont="1"/>
    <xf borderId="19" fillId="3" fontId="9" numFmtId="0" xfId="0" applyBorder="1" applyFont="1"/>
    <xf borderId="20" fillId="3" fontId="9" numFmtId="10" xfId="0" applyBorder="1" applyFont="1" applyNumberFormat="1"/>
    <xf borderId="7" fillId="3" fontId="3" numFmtId="167" xfId="0" applyBorder="1" applyFont="1" applyNumberFormat="1"/>
    <xf borderId="5" fillId="0" fontId="1" numFmtId="0" xfId="0" applyAlignment="1" applyBorder="1" applyFont="1">
      <alignment horizontal="right"/>
    </xf>
    <xf borderId="0" fillId="0" fontId="8" numFmtId="0" xfId="0" applyFont="1"/>
    <xf borderId="1" fillId="2" fontId="1" numFmtId="9" xfId="0" applyBorder="1" applyFont="1" applyNumberFormat="1"/>
    <xf borderId="5" fillId="0" fontId="7" numFmtId="0" xfId="0" applyAlignment="1" applyBorder="1" applyFont="1">
      <alignment horizontal="right"/>
    </xf>
    <xf borderId="0" fillId="0" fontId="7" numFmtId="10" xfId="0" applyFont="1" applyNumberFormat="1"/>
    <xf borderId="1" fillId="3" fontId="3" numFmtId="10" xfId="0" applyBorder="1" applyFont="1" applyNumberFormat="1"/>
    <xf borderId="0" fillId="0" fontId="14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167" xfId="0" applyFont="1" applyNumberFormat="1"/>
    <xf borderId="8" fillId="0" fontId="1" numFmtId="0" xfId="0" applyBorder="1" applyFont="1"/>
    <xf borderId="21" fillId="2" fontId="1" numFmtId="10" xfId="0" applyBorder="1" applyFont="1" applyNumberFormat="1"/>
    <xf borderId="10" fillId="0" fontId="8" numFmtId="0" xfId="0" applyBorder="1" applyFont="1"/>
    <xf borderId="0" fillId="0" fontId="1" numFmtId="167" xfId="0" applyFont="1" applyNumberFormat="1"/>
    <xf borderId="0" fillId="0" fontId="1" numFmtId="166" xfId="0" applyFont="1" applyNumberFormat="1"/>
    <xf borderId="4" fillId="3" fontId="9" numFmtId="0" xfId="0" applyBorder="1" applyFont="1"/>
    <xf borderId="6" fillId="0" fontId="8" numFmtId="9" xfId="0" applyBorder="1" applyFont="1" applyNumberFormat="1"/>
    <xf borderId="10" fillId="0" fontId="8" numFmtId="10" xfId="0" applyBorder="1" applyFont="1" applyNumberFormat="1"/>
    <xf borderId="0" fillId="0" fontId="15" numFmtId="164" xfId="0" applyFont="1" applyNumberFormat="1"/>
    <xf borderId="0" fillId="0" fontId="16" numFmtId="10" xfId="0" applyFont="1" applyNumberFormat="1"/>
    <xf borderId="0" fillId="0" fontId="7" numFmtId="164" xfId="0" applyFont="1" applyNumberFormat="1"/>
    <xf borderId="5" fillId="0" fontId="10" numFmtId="0" xfId="0" applyBorder="1" applyFont="1"/>
    <xf borderId="6" fillId="0" fontId="8" numFmtId="10" xfId="0" applyBorder="1" applyFont="1" applyNumberFormat="1"/>
    <xf borderId="0" fillId="0" fontId="8" numFmtId="164" xfId="0" applyFont="1" applyNumberFormat="1"/>
    <xf borderId="6" fillId="0" fontId="8" numFmtId="165" xfId="0" applyBorder="1" applyFont="1" applyNumberFormat="1"/>
    <xf borderId="5" fillId="0" fontId="7" numFmtId="0" xfId="0" applyBorder="1" applyFont="1"/>
    <xf borderId="7" fillId="5" fontId="17" numFmtId="167" xfId="0" applyBorder="1" applyFill="1" applyFont="1" applyNumberFormat="1"/>
    <xf borderId="8" fillId="0" fontId="10" numFmtId="0" xfId="0" applyBorder="1" applyFont="1"/>
    <xf borderId="22" fillId="5" fontId="17" numFmtId="167" xfId="0" applyBorder="1" applyFont="1" applyNumberFormat="1"/>
    <xf borderId="0" fillId="0" fontId="18" numFmtId="9" xfId="0" applyFont="1" applyNumberFormat="1"/>
    <xf borderId="0" fillId="0" fontId="18" numFmtId="10" xfId="0" applyFont="1" applyNumberFormat="1"/>
    <xf borderId="0" fillId="0" fontId="1" numFmtId="9" xfId="0" applyFont="1" applyNumberFormat="1"/>
    <xf borderId="0" fillId="0" fontId="1" numFmtId="164" xfId="0" applyAlignment="1" applyFont="1" applyNumberFormat="1">
      <alignment readingOrder="0"/>
    </xf>
    <xf borderId="3" fillId="2" fontId="1" numFmtId="164" xfId="0" applyBorder="1" applyFont="1" applyNumberFormat="1"/>
    <xf borderId="0" fillId="0" fontId="19" numFmtId="0" xfId="0" applyFont="1"/>
    <xf borderId="23" fillId="3" fontId="20" numFmtId="0" xfId="0" applyAlignment="1" applyBorder="1" applyFont="1">
      <alignment horizontal="center"/>
    </xf>
    <xf borderId="24" fillId="0" fontId="21" numFmtId="0" xfId="0" applyBorder="1" applyFont="1"/>
    <xf borderId="4" fillId="3" fontId="3" numFmtId="0" xfId="0" applyBorder="1" applyFont="1"/>
    <xf borderId="23" fillId="3" fontId="3" numFmtId="0" xfId="0" applyBorder="1" applyFont="1"/>
    <xf borderId="14" fillId="3" fontId="20" numFmtId="0" xfId="0" applyAlignment="1" applyBorder="1" applyFont="1">
      <alignment horizontal="left"/>
    </xf>
    <xf borderId="7" fillId="3" fontId="22" numFmtId="0" xfId="0" applyBorder="1" applyFont="1"/>
    <xf borderId="5" fillId="0" fontId="8" numFmtId="0" xfId="0" applyBorder="1" applyFont="1"/>
    <xf borderId="7" fillId="2" fontId="1" numFmtId="168" xfId="0" applyBorder="1" applyFont="1" applyNumberFormat="1"/>
    <xf borderId="6" fillId="0" fontId="1" numFmtId="166" xfId="0" applyBorder="1" applyFont="1" applyNumberFormat="1"/>
    <xf borderId="5" fillId="0" fontId="13" numFmtId="0" xfId="0" applyAlignment="1" applyBorder="1" applyFont="1">
      <alignment horizontal="left"/>
    </xf>
    <xf borderId="6" fillId="0" fontId="13" numFmtId="166" xfId="0" applyBorder="1" applyFont="1" applyNumberFormat="1"/>
    <xf borderId="6" fillId="0" fontId="1" numFmtId="10" xfId="0" applyBorder="1" applyFont="1" applyNumberFormat="1"/>
    <xf borderId="22" fillId="2" fontId="1" numFmtId="168" xfId="0" applyBorder="1" applyFont="1" applyNumberFormat="1"/>
    <xf borderId="0" fillId="0" fontId="7" numFmtId="168" xfId="0" applyFont="1" applyNumberFormat="1"/>
    <xf borderId="15" fillId="0" fontId="23" numFmtId="0" xfId="0" applyAlignment="1" applyBorder="1" applyFont="1">
      <alignment horizontal="left"/>
    </xf>
    <xf borderId="17" fillId="0" fontId="23" numFmtId="166" xfId="0" applyBorder="1" applyFont="1" applyNumberFormat="1"/>
    <xf borderId="0" fillId="0" fontId="13" numFmtId="0" xfId="0" applyFont="1"/>
    <xf borderId="15" fillId="0" fontId="8" numFmtId="0" xfId="0" applyBorder="1" applyFont="1"/>
    <xf borderId="17" fillId="0" fontId="24" numFmtId="166" xfId="0" applyBorder="1" applyFont="1" applyNumberFormat="1"/>
    <xf borderId="2" fillId="3" fontId="20" numFmtId="0" xfId="0" applyAlignment="1" applyBorder="1" applyFont="1">
      <alignment horizontal="left"/>
    </xf>
    <xf borderId="4" fillId="3" fontId="22" numFmtId="0" xfId="0" applyBorder="1" applyFont="1"/>
    <xf borderId="5" fillId="0" fontId="13" numFmtId="168" xfId="0" applyAlignment="1" applyBorder="1" applyFont="1" applyNumberFormat="1">
      <alignment horizontal="left"/>
    </xf>
    <xf borderId="10" fillId="0" fontId="1" numFmtId="168" xfId="0" applyBorder="1" applyFont="1" applyNumberFormat="1"/>
    <xf borderId="4" fillId="3" fontId="22" numFmtId="9" xfId="0" applyBorder="1" applyFont="1" applyNumberFormat="1"/>
    <xf borderId="17" fillId="0" fontId="23" numFmtId="10" xfId="0" applyBorder="1" applyFont="1" applyNumberFormat="1"/>
    <xf borderId="2" fillId="3" fontId="20" numFmtId="0" xfId="0" applyBorder="1" applyFont="1"/>
    <xf borderId="5" fillId="0" fontId="13" numFmtId="0" xfId="0" applyBorder="1" applyFont="1"/>
    <xf borderId="15" fillId="0" fontId="23" numFmtId="0" xfId="0" applyBorder="1" applyFont="1"/>
    <xf borderId="17" fillId="0" fontId="23" numFmtId="169" xfId="0" applyBorder="1" applyFont="1" applyNumberFormat="1"/>
  </cellXfs>
  <cellStyles count="1">
    <cellStyle xfId="0" name="Normal" builtinId="0"/>
  </cellStyles>
  <dxfs count="4">
    <dxf>
      <font>
        <color rgb="FF38761D"/>
      </font>
      <fill>
        <patternFill patternType="solid">
          <fgColor rgb="FFB7E1CD"/>
          <bgColor rgb="FFB7E1CD"/>
        </patternFill>
      </fill>
      <border/>
    </dxf>
    <dxf>
      <font>
        <color rgb="FF990000"/>
      </font>
      <fill>
        <patternFill patternType="solid">
          <fgColor rgb="FFF4C7C3"/>
          <bgColor rgb="FFF4C7C3"/>
        </patternFill>
      </fill>
      <border/>
    </dxf>
    <dxf>
      <font>
        <b/>
        <color rgb="FF660000"/>
      </font>
      <fill>
        <patternFill patternType="solid">
          <fgColor rgb="FFF4C7C3"/>
          <bgColor rgb="FFF4C7C3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104775</xdr:rowOff>
    </xdr:from>
    <xdr:ext cx="1409700" cy="323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104775</xdr:rowOff>
    </xdr:from>
    <xdr:ext cx="1409700" cy="323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0</xdr:row>
      <xdr:rowOff>123825</xdr:rowOff>
    </xdr:from>
    <xdr:ext cx="1409700" cy="323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lastingdienst.nl/wps/wcm/connect/nl/box-3/content/nieuwe-berekening-box-3-inkomen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0.1" defaultRowHeight="15.0"/>
  <cols>
    <col customWidth="1" min="1" max="1" width="1.8"/>
    <col customWidth="1" min="2" max="2" width="22.1"/>
    <col customWidth="1" min="3" max="3" width="8.5"/>
    <col customWidth="1" min="4" max="4" width="7.7"/>
    <col customWidth="1" min="5" max="5" width="11.4"/>
    <col customWidth="1" min="6" max="6" width="17.0"/>
    <col customWidth="1" min="7" max="7" width="6.1"/>
    <col customWidth="1" min="8" max="17" width="5.7"/>
    <col customWidth="1" min="18" max="18" width="6.0"/>
    <col customWidth="1" min="19" max="26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4" t="s">
        <v>1</v>
      </c>
      <c r="C4" s="5"/>
      <c r="D4" s="6"/>
      <c r="E4" s="1"/>
      <c r="F4" s="4" t="s">
        <v>2</v>
      </c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1"/>
      <c r="T4" s="1"/>
      <c r="U4" s="1"/>
      <c r="V4" s="1"/>
      <c r="W4" s="1"/>
      <c r="X4" s="1"/>
      <c r="Y4" s="1"/>
      <c r="Z4" s="1"/>
    </row>
    <row r="5">
      <c r="A5" s="1"/>
      <c r="B5" s="10" t="s">
        <v>3</v>
      </c>
      <c r="C5" s="11">
        <v>350000.0</v>
      </c>
      <c r="D5" s="12"/>
      <c r="E5" s="1"/>
      <c r="F5" s="10"/>
      <c r="G5" s="13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  <c r="O5" s="13" t="s">
        <v>12</v>
      </c>
      <c r="P5" s="13" t="s">
        <v>13</v>
      </c>
      <c r="Q5" s="13" t="s">
        <v>14</v>
      </c>
      <c r="R5" s="14" t="s">
        <v>15</v>
      </c>
      <c r="S5" s="1"/>
      <c r="T5" s="1"/>
      <c r="U5" s="1"/>
      <c r="V5" s="1"/>
      <c r="W5" s="1"/>
      <c r="X5" s="1"/>
      <c r="Y5" s="1"/>
      <c r="Z5" s="1"/>
    </row>
    <row r="6">
      <c r="A6" s="1"/>
      <c r="B6" s="10" t="s">
        <v>16</v>
      </c>
      <c r="C6" s="15">
        <f>C5*D6</f>
        <v>28000</v>
      </c>
      <c r="D6" s="16">
        <v>0.08</v>
      </c>
      <c r="E6" s="1"/>
      <c r="F6" s="17" t="s">
        <v>17</v>
      </c>
      <c r="G6" s="1"/>
      <c r="H6" s="15">
        <f>C23*12</f>
        <v>24000</v>
      </c>
      <c r="I6" s="15">
        <f t="shared" ref="I6:Q6" si="1">(1+$C$30)*H6</f>
        <v>24792</v>
      </c>
      <c r="J6" s="15">
        <f t="shared" si="1"/>
        <v>25610.136</v>
      </c>
      <c r="K6" s="15">
        <f t="shared" si="1"/>
        <v>26455.27049</v>
      </c>
      <c r="L6" s="15">
        <f t="shared" si="1"/>
        <v>27328.29441</v>
      </c>
      <c r="M6" s="15">
        <f t="shared" si="1"/>
        <v>28230.12813</v>
      </c>
      <c r="N6" s="15">
        <f t="shared" si="1"/>
        <v>29161.72236</v>
      </c>
      <c r="O6" s="15">
        <f t="shared" si="1"/>
        <v>30124.0592</v>
      </c>
      <c r="P6" s="15">
        <f t="shared" si="1"/>
        <v>31118.15315</v>
      </c>
      <c r="Q6" s="15">
        <f t="shared" si="1"/>
        <v>32145.0522</v>
      </c>
      <c r="R6" s="12"/>
      <c r="S6" s="1"/>
      <c r="T6" s="1"/>
      <c r="U6" s="1"/>
      <c r="V6" s="1"/>
      <c r="W6" s="1"/>
      <c r="X6" s="1"/>
      <c r="Y6" s="1"/>
      <c r="Z6" s="1"/>
    </row>
    <row r="7">
      <c r="A7" s="1"/>
      <c r="B7" s="10" t="s">
        <v>18</v>
      </c>
      <c r="C7" s="15">
        <f>C5*0.0065</f>
        <v>2275</v>
      </c>
      <c r="D7" s="18"/>
      <c r="E7" s="1"/>
      <c r="F7" s="17" t="s">
        <v>19</v>
      </c>
      <c r="G7" s="19"/>
      <c r="H7" s="15">
        <f t="shared" ref="H7:H9" si="3">+C24*12</f>
        <v>0</v>
      </c>
      <c r="I7" s="15">
        <f t="shared" ref="I7:Q7" si="2">+(1+$C$30)*H7</f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P7" s="15">
        <f t="shared" si="2"/>
        <v>0</v>
      </c>
      <c r="Q7" s="15">
        <f t="shared" si="2"/>
        <v>0</v>
      </c>
      <c r="R7" s="18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20</v>
      </c>
      <c r="C8" s="15">
        <v>1000.0</v>
      </c>
      <c r="D8" s="18"/>
      <c r="E8" s="1"/>
      <c r="F8" s="17" t="s">
        <v>21</v>
      </c>
      <c r="G8" s="19"/>
      <c r="H8" s="15">
        <f t="shared" si="3"/>
        <v>0</v>
      </c>
      <c r="I8" s="15">
        <f t="shared" ref="I8:Q8" si="4">+(1+$C$30)*H8</f>
        <v>0</v>
      </c>
      <c r="J8" s="15">
        <f t="shared" si="4"/>
        <v>0</v>
      </c>
      <c r="K8" s="15">
        <f t="shared" si="4"/>
        <v>0</v>
      </c>
      <c r="L8" s="15">
        <f t="shared" si="4"/>
        <v>0</v>
      </c>
      <c r="M8" s="15">
        <f t="shared" si="4"/>
        <v>0</v>
      </c>
      <c r="N8" s="15">
        <f t="shared" si="4"/>
        <v>0</v>
      </c>
      <c r="O8" s="15">
        <f t="shared" si="4"/>
        <v>0</v>
      </c>
      <c r="P8" s="15">
        <f t="shared" si="4"/>
        <v>0</v>
      </c>
      <c r="Q8" s="15">
        <f t="shared" si="4"/>
        <v>0</v>
      </c>
      <c r="R8" s="18"/>
      <c r="S8" s="1"/>
      <c r="T8" s="1"/>
      <c r="U8" s="1"/>
      <c r="V8" s="1"/>
      <c r="W8" s="1"/>
      <c r="X8" s="1"/>
      <c r="Y8" s="1"/>
      <c r="Z8" s="1"/>
    </row>
    <row r="9">
      <c r="A9" s="1"/>
      <c r="B9" s="10" t="s">
        <v>22</v>
      </c>
      <c r="C9" s="15">
        <v>1000.0</v>
      </c>
      <c r="D9" s="18"/>
      <c r="E9" s="1"/>
      <c r="F9" s="17" t="s">
        <v>23</v>
      </c>
      <c r="G9" s="1"/>
      <c r="H9" s="15">
        <f t="shared" si="3"/>
        <v>600</v>
      </c>
      <c r="I9" s="15">
        <f t="shared" ref="I9:Q9" si="5">+(1+$C$30)*H9</f>
        <v>619.8</v>
      </c>
      <c r="J9" s="15">
        <f t="shared" si="5"/>
        <v>640.2534</v>
      </c>
      <c r="K9" s="15">
        <f t="shared" si="5"/>
        <v>661.3817622</v>
      </c>
      <c r="L9" s="15">
        <f t="shared" si="5"/>
        <v>683.2073604</v>
      </c>
      <c r="M9" s="15">
        <f t="shared" si="5"/>
        <v>705.7532032</v>
      </c>
      <c r="N9" s="15">
        <f t="shared" si="5"/>
        <v>729.043059</v>
      </c>
      <c r="O9" s="15">
        <f t="shared" si="5"/>
        <v>753.1014799</v>
      </c>
      <c r="P9" s="15">
        <f t="shared" si="5"/>
        <v>777.9538287</v>
      </c>
      <c r="Q9" s="15">
        <f t="shared" si="5"/>
        <v>803.6263051</v>
      </c>
      <c r="R9" s="12"/>
      <c r="S9" s="1"/>
      <c r="T9" s="1"/>
      <c r="U9" s="1"/>
      <c r="V9" s="1"/>
      <c r="W9" s="1"/>
      <c r="X9" s="1"/>
      <c r="Y9" s="1"/>
      <c r="Z9" s="1"/>
    </row>
    <row r="10">
      <c r="A10" s="1"/>
      <c r="B10" s="10" t="s">
        <v>24</v>
      </c>
      <c r="C10" s="20"/>
      <c r="D10" s="12"/>
      <c r="E10" s="1"/>
      <c r="F10" s="17" t="s">
        <v>25</v>
      </c>
      <c r="G10" s="1"/>
      <c r="H10" s="15">
        <f t="shared" ref="H10:Q10" si="6">+$C$28</f>
        <v>0</v>
      </c>
      <c r="I10" s="15">
        <f t="shared" si="6"/>
        <v>0</v>
      </c>
      <c r="J10" s="15">
        <f t="shared" si="6"/>
        <v>0</v>
      </c>
      <c r="K10" s="15">
        <f t="shared" si="6"/>
        <v>0</v>
      </c>
      <c r="L10" s="15">
        <f t="shared" si="6"/>
        <v>0</v>
      </c>
      <c r="M10" s="15">
        <f t="shared" si="6"/>
        <v>0</v>
      </c>
      <c r="N10" s="15">
        <f t="shared" si="6"/>
        <v>0</v>
      </c>
      <c r="O10" s="15">
        <f t="shared" si="6"/>
        <v>0</v>
      </c>
      <c r="P10" s="15">
        <f t="shared" si="6"/>
        <v>0</v>
      </c>
      <c r="Q10" s="15">
        <f t="shared" si="6"/>
        <v>0</v>
      </c>
      <c r="R10" s="12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 t="s">
        <v>26</v>
      </c>
      <c r="C11" s="20"/>
      <c r="D11" s="21"/>
      <c r="E11" s="1"/>
      <c r="F11" s="17" t="s">
        <v>27</v>
      </c>
      <c r="G11" s="1"/>
      <c r="H11" s="15">
        <f>+C29</f>
        <v>500</v>
      </c>
      <c r="I11" s="15">
        <f t="shared" ref="I11:Q11" si="7">(1+$C$30)*H11</f>
        <v>516.5</v>
      </c>
      <c r="J11" s="15">
        <f t="shared" si="7"/>
        <v>533.5445</v>
      </c>
      <c r="K11" s="15">
        <f t="shared" si="7"/>
        <v>551.1514685</v>
      </c>
      <c r="L11" s="15">
        <f t="shared" si="7"/>
        <v>569.339467</v>
      </c>
      <c r="M11" s="15">
        <f t="shared" si="7"/>
        <v>588.1276694</v>
      </c>
      <c r="N11" s="15">
        <f t="shared" si="7"/>
        <v>607.5358825</v>
      </c>
      <c r="O11" s="15">
        <f t="shared" si="7"/>
        <v>627.5845666</v>
      </c>
      <c r="P11" s="15">
        <f t="shared" si="7"/>
        <v>648.2948573</v>
      </c>
      <c r="Q11" s="15">
        <f t="shared" si="7"/>
        <v>669.6885876</v>
      </c>
      <c r="R11" s="12"/>
      <c r="S11" s="1"/>
      <c r="T11" s="1"/>
      <c r="U11" s="1"/>
      <c r="V11" s="1"/>
      <c r="W11" s="1"/>
      <c r="X11" s="1"/>
      <c r="Y11" s="1"/>
      <c r="Z11" s="1"/>
    </row>
    <row r="12">
      <c r="A12" s="1"/>
      <c r="B12" s="22" t="s">
        <v>28</v>
      </c>
      <c r="C12" s="23">
        <f>C5+C6+C7+C8+C9+C10+C11</f>
        <v>382275</v>
      </c>
      <c r="D12" s="24"/>
      <c r="E12" s="1"/>
      <c r="F12" s="17" t="s">
        <v>29</v>
      </c>
      <c r="G12" s="19"/>
      <c r="H12" s="15">
        <f t="shared" ref="H12:Q12" si="8">+$C$27*H6</f>
        <v>960</v>
      </c>
      <c r="I12" s="15">
        <f t="shared" si="8"/>
        <v>991.68</v>
      </c>
      <c r="J12" s="15">
        <f t="shared" si="8"/>
        <v>1024.40544</v>
      </c>
      <c r="K12" s="15">
        <f t="shared" si="8"/>
        <v>1058.21082</v>
      </c>
      <c r="L12" s="15">
        <f t="shared" si="8"/>
        <v>1093.131777</v>
      </c>
      <c r="M12" s="15">
        <f t="shared" si="8"/>
        <v>1129.205125</v>
      </c>
      <c r="N12" s="15">
        <f t="shared" si="8"/>
        <v>1166.468894</v>
      </c>
      <c r="O12" s="15">
        <f t="shared" si="8"/>
        <v>1204.962368</v>
      </c>
      <c r="P12" s="15">
        <f t="shared" si="8"/>
        <v>1244.726126</v>
      </c>
      <c r="Q12" s="15">
        <f t="shared" si="8"/>
        <v>1285.802088</v>
      </c>
      <c r="R12" s="18"/>
      <c r="S12" s="1"/>
      <c r="T12" s="1"/>
      <c r="U12" s="1"/>
      <c r="V12" s="1"/>
      <c r="W12" s="1"/>
      <c r="X12" s="1"/>
      <c r="Y12" s="1"/>
      <c r="Z12" s="1"/>
    </row>
    <row r="13">
      <c r="A13" s="1"/>
      <c r="B13" s="19"/>
      <c r="C13" s="19"/>
      <c r="D13" s="19"/>
      <c r="E13" s="1"/>
      <c r="F13" s="25" t="s">
        <v>30</v>
      </c>
      <c r="G13" s="26"/>
      <c r="H13" s="27">
        <f t="shared" ref="H13:Q13" si="9">+H6-SUM(H7:H12)</f>
        <v>21940</v>
      </c>
      <c r="I13" s="27">
        <f t="shared" si="9"/>
        <v>22664.02</v>
      </c>
      <c r="J13" s="27">
        <f t="shared" si="9"/>
        <v>23411.93266</v>
      </c>
      <c r="K13" s="27">
        <f t="shared" si="9"/>
        <v>24184.52644</v>
      </c>
      <c r="L13" s="27">
        <f t="shared" si="9"/>
        <v>24982.61581</v>
      </c>
      <c r="M13" s="27">
        <f t="shared" si="9"/>
        <v>25807.04213</v>
      </c>
      <c r="N13" s="27">
        <f t="shared" si="9"/>
        <v>26658.67452</v>
      </c>
      <c r="O13" s="27">
        <f t="shared" si="9"/>
        <v>27538.41078</v>
      </c>
      <c r="P13" s="27">
        <f t="shared" si="9"/>
        <v>28447.17834</v>
      </c>
      <c r="Q13" s="27">
        <f t="shared" si="9"/>
        <v>29385.93522</v>
      </c>
      <c r="R13" s="12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31</v>
      </c>
      <c r="C14" s="28"/>
      <c r="D14" s="29"/>
      <c r="E14" s="1"/>
      <c r="F14" s="30"/>
      <c r="G14" s="1"/>
      <c r="H14" s="31"/>
      <c r="I14" s="1"/>
      <c r="J14" s="1"/>
      <c r="K14" s="1"/>
      <c r="L14" s="1"/>
      <c r="M14" s="1"/>
      <c r="N14" s="1"/>
      <c r="O14" s="1"/>
      <c r="P14" s="1"/>
      <c r="Q14" s="1"/>
      <c r="R14" s="12"/>
      <c r="S14" s="1"/>
      <c r="T14" s="1"/>
      <c r="U14" s="1"/>
      <c r="V14" s="1"/>
      <c r="W14" s="1"/>
      <c r="X14" s="1"/>
      <c r="Y14" s="1"/>
      <c r="Z14" s="1"/>
    </row>
    <row r="15">
      <c r="A15" s="1"/>
      <c r="B15" s="32" t="s">
        <v>32</v>
      </c>
      <c r="C15" s="33">
        <v>350000.0</v>
      </c>
      <c r="D15" s="34">
        <v>1.0</v>
      </c>
      <c r="E15" s="1"/>
      <c r="F15" s="17" t="s">
        <v>33</v>
      </c>
      <c r="G15" s="1"/>
      <c r="H15" s="35">
        <f>+C18*C17</f>
        <v>14560</v>
      </c>
      <c r="I15" s="15">
        <f>+C18*C17</f>
        <v>14560</v>
      </c>
      <c r="J15" s="15">
        <f t="shared" ref="J15:Q15" si="10">+$C$18*I22</f>
        <v>14560</v>
      </c>
      <c r="K15" s="15">
        <f t="shared" si="10"/>
        <v>14560</v>
      </c>
      <c r="L15" s="15">
        <f t="shared" si="10"/>
        <v>14560</v>
      </c>
      <c r="M15" s="15">
        <f t="shared" si="10"/>
        <v>14560</v>
      </c>
      <c r="N15" s="15">
        <f t="shared" si="10"/>
        <v>14560</v>
      </c>
      <c r="O15" s="15">
        <f t="shared" si="10"/>
        <v>14560</v>
      </c>
      <c r="P15" s="15">
        <f t="shared" si="10"/>
        <v>14560</v>
      </c>
      <c r="Q15" s="15">
        <f t="shared" si="10"/>
        <v>14560</v>
      </c>
      <c r="R15" s="12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0" t="s">
        <v>34</v>
      </c>
      <c r="C16" s="36">
        <v>0.8</v>
      </c>
      <c r="D16" s="18"/>
      <c r="E16" s="1"/>
      <c r="F16" s="17" t="s">
        <v>35</v>
      </c>
      <c r="G16" s="1"/>
      <c r="H16" s="35">
        <f>+C19*C17</f>
        <v>0</v>
      </c>
      <c r="I16" s="15">
        <f>+C19*C17</f>
        <v>0</v>
      </c>
      <c r="J16" s="15">
        <f t="shared" ref="J16:Q16" si="11">+I16</f>
        <v>0</v>
      </c>
      <c r="K16" s="15">
        <f t="shared" si="11"/>
        <v>0</v>
      </c>
      <c r="L16" s="15">
        <f t="shared" si="11"/>
        <v>0</v>
      </c>
      <c r="M16" s="15">
        <f t="shared" si="11"/>
        <v>0</v>
      </c>
      <c r="N16" s="15">
        <f t="shared" si="11"/>
        <v>0</v>
      </c>
      <c r="O16" s="15">
        <f t="shared" si="11"/>
        <v>0</v>
      </c>
      <c r="P16" s="15">
        <f t="shared" si="11"/>
        <v>0</v>
      </c>
      <c r="Q16" s="15">
        <f t="shared" si="11"/>
        <v>0</v>
      </c>
      <c r="R16" s="12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0" t="s">
        <v>36</v>
      </c>
      <c r="C17" s="15">
        <f>C15*C16</f>
        <v>280000</v>
      </c>
      <c r="D17" s="18"/>
      <c r="E17" s="1"/>
      <c r="F17" s="25" t="s">
        <v>37</v>
      </c>
      <c r="G17" s="26"/>
      <c r="H17" s="27">
        <f t="shared" ref="H17:Q17" si="12">SUM(H15:H16)</f>
        <v>14560</v>
      </c>
      <c r="I17" s="27">
        <f t="shared" si="12"/>
        <v>14560</v>
      </c>
      <c r="J17" s="27">
        <f t="shared" si="12"/>
        <v>14560</v>
      </c>
      <c r="K17" s="27">
        <f t="shared" si="12"/>
        <v>14560</v>
      </c>
      <c r="L17" s="27">
        <f t="shared" si="12"/>
        <v>14560</v>
      </c>
      <c r="M17" s="27">
        <f t="shared" si="12"/>
        <v>14560</v>
      </c>
      <c r="N17" s="27">
        <f t="shared" si="12"/>
        <v>14560</v>
      </c>
      <c r="O17" s="27">
        <f t="shared" si="12"/>
        <v>14560</v>
      </c>
      <c r="P17" s="27">
        <f t="shared" si="12"/>
        <v>14560</v>
      </c>
      <c r="Q17" s="27">
        <f t="shared" si="12"/>
        <v>14560</v>
      </c>
      <c r="R17" s="12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0" t="s">
        <v>33</v>
      </c>
      <c r="C18" s="37">
        <v>0.052</v>
      </c>
      <c r="D18" s="38" t="s">
        <v>38</v>
      </c>
      <c r="E18" s="1"/>
      <c r="F18" s="30"/>
      <c r="G18" s="1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2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0" t="s">
        <v>35</v>
      </c>
      <c r="C19" s="39">
        <v>0.0</v>
      </c>
      <c r="D19" s="38" t="s">
        <v>38</v>
      </c>
      <c r="E19" s="1"/>
      <c r="F19" s="40" t="s">
        <v>39</v>
      </c>
      <c r="G19" s="41">
        <f>-C20</f>
        <v>-102275</v>
      </c>
      <c r="H19" s="41">
        <f t="shared" ref="H19:Q19" si="13">+H13-H15</f>
        <v>7380</v>
      </c>
      <c r="I19" s="41">
        <f t="shared" si="13"/>
        <v>8104.02</v>
      </c>
      <c r="J19" s="41">
        <f t="shared" si="13"/>
        <v>8851.93266</v>
      </c>
      <c r="K19" s="41">
        <f t="shared" si="13"/>
        <v>9624.526438</v>
      </c>
      <c r="L19" s="41">
        <f t="shared" si="13"/>
        <v>10422.61581</v>
      </c>
      <c r="M19" s="41">
        <f t="shared" si="13"/>
        <v>11247.04213</v>
      </c>
      <c r="N19" s="41">
        <f t="shared" si="13"/>
        <v>12098.67452</v>
      </c>
      <c r="O19" s="41">
        <f t="shared" si="13"/>
        <v>12978.41078</v>
      </c>
      <c r="P19" s="41">
        <f t="shared" si="13"/>
        <v>13887.17834</v>
      </c>
      <c r="Q19" s="41">
        <f t="shared" si="13"/>
        <v>14825.93522</v>
      </c>
      <c r="R19" s="42">
        <f>Q24-Q22</f>
        <v>176670.6143</v>
      </c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43" t="s">
        <v>40</v>
      </c>
      <c r="C20" s="44">
        <f>C12-C17</f>
        <v>102275</v>
      </c>
      <c r="D20" s="45"/>
      <c r="E20" s="1"/>
      <c r="F20" s="46" t="s">
        <v>41</v>
      </c>
      <c r="G20" s="19"/>
      <c r="H20" s="47">
        <f t="shared" ref="H20:Q20" si="14">+H13-H17</f>
        <v>7380</v>
      </c>
      <c r="I20" s="47">
        <f t="shared" si="14"/>
        <v>8104.02</v>
      </c>
      <c r="J20" s="47">
        <f t="shared" si="14"/>
        <v>8851.93266</v>
      </c>
      <c r="K20" s="47">
        <f t="shared" si="14"/>
        <v>9624.526438</v>
      </c>
      <c r="L20" s="47">
        <f t="shared" si="14"/>
        <v>10422.61581</v>
      </c>
      <c r="M20" s="47">
        <f t="shared" si="14"/>
        <v>11247.04213</v>
      </c>
      <c r="N20" s="47">
        <f t="shared" si="14"/>
        <v>12098.67452</v>
      </c>
      <c r="O20" s="47">
        <f t="shared" si="14"/>
        <v>12978.41078</v>
      </c>
      <c r="P20" s="47">
        <f t="shared" si="14"/>
        <v>13887.17834</v>
      </c>
      <c r="Q20" s="47">
        <f t="shared" si="14"/>
        <v>14825.93522</v>
      </c>
      <c r="R20" s="18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9"/>
      <c r="C21" s="19"/>
      <c r="D21" s="19"/>
      <c r="E21" s="1"/>
      <c r="F21" s="30"/>
      <c r="G21" s="1"/>
      <c r="H21" s="1"/>
      <c r="I21" s="48"/>
      <c r="J21" s="48"/>
      <c r="K21" s="48"/>
      <c r="L21" s="48"/>
      <c r="M21" s="1"/>
      <c r="N21" s="1"/>
      <c r="O21" s="1"/>
      <c r="P21" s="1"/>
      <c r="Q21" s="31"/>
      <c r="R21" s="12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49" t="s">
        <v>42</v>
      </c>
      <c r="C22" s="50"/>
      <c r="D22" s="51"/>
      <c r="E22" s="1"/>
      <c r="F22" s="17" t="s">
        <v>43</v>
      </c>
      <c r="G22" s="1"/>
      <c r="H22" s="35">
        <f>C17-H16</f>
        <v>280000</v>
      </c>
      <c r="I22" s="15">
        <f t="shared" ref="I22:Q22" si="15">+H22-I16</f>
        <v>280000</v>
      </c>
      <c r="J22" s="15">
        <f t="shared" si="15"/>
        <v>280000</v>
      </c>
      <c r="K22" s="15">
        <f t="shared" si="15"/>
        <v>280000</v>
      </c>
      <c r="L22" s="15">
        <f t="shared" si="15"/>
        <v>280000</v>
      </c>
      <c r="M22" s="15">
        <f t="shared" si="15"/>
        <v>280000</v>
      </c>
      <c r="N22" s="15">
        <f t="shared" si="15"/>
        <v>280000</v>
      </c>
      <c r="O22" s="15">
        <f t="shared" si="15"/>
        <v>280000</v>
      </c>
      <c r="P22" s="15">
        <f t="shared" si="15"/>
        <v>280000</v>
      </c>
      <c r="Q22" s="15">
        <f t="shared" si="15"/>
        <v>280000</v>
      </c>
      <c r="R22" s="12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0" t="s">
        <v>17</v>
      </c>
      <c r="C23" s="20">
        <v>2000.0</v>
      </c>
      <c r="D23" s="38" t="s">
        <v>44</v>
      </c>
      <c r="E23" s="1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2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0" t="s">
        <v>19</v>
      </c>
      <c r="C24" s="20"/>
      <c r="D24" s="38" t="s">
        <v>44</v>
      </c>
      <c r="E24" s="1"/>
      <c r="F24" s="40" t="s">
        <v>45</v>
      </c>
      <c r="G24" s="41">
        <f>-C20</f>
        <v>-102275</v>
      </c>
      <c r="H24" s="41">
        <f>C5+(C10)</f>
        <v>350000</v>
      </c>
      <c r="I24" s="41">
        <f t="shared" ref="I24:Q24" si="16">H24*(1+$C$31)</f>
        <v>360500</v>
      </c>
      <c r="J24" s="41">
        <f t="shared" si="16"/>
        <v>371315</v>
      </c>
      <c r="K24" s="41">
        <f t="shared" si="16"/>
        <v>382454.45</v>
      </c>
      <c r="L24" s="41">
        <f t="shared" si="16"/>
        <v>393928.0835</v>
      </c>
      <c r="M24" s="41">
        <f t="shared" si="16"/>
        <v>405745.926</v>
      </c>
      <c r="N24" s="41">
        <f t="shared" si="16"/>
        <v>417918.3038</v>
      </c>
      <c r="O24" s="41">
        <f t="shared" si="16"/>
        <v>430455.8529</v>
      </c>
      <c r="P24" s="41">
        <f t="shared" si="16"/>
        <v>443369.5285</v>
      </c>
      <c r="Q24" s="41">
        <f t="shared" si="16"/>
        <v>456670.6143</v>
      </c>
      <c r="R24" s="52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0" t="s">
        <v>46</v>
      </c>
      <c r="C25" s="20">
        <v>0.0</v>
      </c>
      <c r="D25" s="38" t="s">
        <v>44</v>
      </c>
      <c r="E25" s="1"/>
      <c r="F25" s="53"/>
      <c r="G25" s="1"/>
      <c r="H25" s="1"/>
      <c r="I25" s="1"/>
      <c r="J25" s="31"/>
      <c r="K25" s="1"/>
      <c r="L25" s="1"/>
      <c r="M25" s="1"/>
      <c r="N25" s="1"/>
      <c r="O25" s="1"/>
      <c r="P25" s="1"/>
      <c r="Q25" s="1"/>
      <c r="R25" s="12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0" t="s">
        <v>47</v>
      </c>
      <c r="C26" s="20">
        <v>50.0</v>
      </c>
      <c r="D26" s="38" t="s">
        <v>44</v>
      </c>
      <c r="E26" s="1"/>
      <c r="F26" s="40" t="s">
        <v>48</v>
      </c>
      <c r="G26" s="41"/>
      <c r="H26" s="41">
        <f t="shared" ref="H26:Q26" si="17">H24-H22</f>
        <v>70000</v>
      </c>
      <c r="I26" s="41">
        <f t="shared" si="17"/>
        <v>80500</v>
      </c>
      <c r="J26" s="41">
        <f t="shared" si="17"/>
        <v>91315</v>
      </c>
      <c r="K26" s="41">
        <f t="shared" si="17"/>
        <v>102454.45</v>
      </c>
      <c r="L26" s="41">
        <f t="shared" si="17"/>
        <v>113928.0835</v>
      </c>
      <c r="M26" s="41">
        <f t="shared" si="17"/>
        <v>125745.926</v>
      </c>
      <c r="N26" s="41">
        <f t="shared" si="17"/>
        <v>137918.3038</v>
      </c>
      <c r="O26" s="41">
        <f t="shared" si="17"/>
        <v>150455.8529</v>
      </c>
      <c r="P26" s="41">
        <f t="shared" si="17"/>
        <v>163369.5285</v>
      </c>
      <c r="Q26" s="41">
        <f t="shared" si="17"/>
        <v>176670.6143</v>
      </c>
      <c r="R26" s="52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54"/>
      <c r="B27" s="10" t="s">
        <v>29</v>
      </c>
      <c r="C27" s="55">
        <v>0.04</v>
      </c>
      <c r="D27" s="38"/>
      <c r="E27" s="1"/>
      <c r="F27" s="56"/>
      <c r="G27" s="19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12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0" t="s">
        <v>25</v>
      </c>
      <c r="C28" s="20">
        <v>0.0</v>
      </c>
      <c r="D28" s="38" t="s">
        <v>38</v>
      </c>
      <c r="E28" s="1"/>
      <c r="F28" s="40" t="s">
        <v>49</v>
      </c>
      <c r="G28" s="41"/>
      <c r="H28" s="58">
        <f t="shared" ref="H28:Q28" si="18">H22/H24</f>
        <v>0.8</v>
      </c>
      <c r="I28" s="58">
        <f t="shared" si="18"/>
        <v>0.7766990291</v>
      </c>
      <c r="J28" s="58">
        <f t="shared" si="18"/>
        <v>0.7540767273</v>
      </c>
      <c r="K28" s="58">
        <f t="shared" si="18"/>
        <v>0.7321133275</v>
      </c>
      <c r="L28" s="58">
        <f t="shared" si="18"/>
        <v>0.7107896383</v>
      </c>
      <c r="M28" s="58">
        <f t="shared" si="18"/>
        <v>0.6900870275</v>
      </c>
      <c r="N28" s="58">
        <f t="shared" si="18"/>
        <v>0.6699874053</v>
      </c>
      <c r="O28" s="58">
        <f t="shared" si="18"/>
        <v>0.6504732091</v>
      </c>
      <c r="P28" s="58">
        <f t="shared" si="18"/>
        <v>0.6315273875</v>
      </c>
      <c r="Q28" s="58">
        <f t="shared" si="18"/>
        <v>0.6131333859</v>
      </c>
      <c r="R28" s="52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0" t="s">
        <v>50</v>
      </c>
      <c r="C29" s="20">
        <v>500.0</v>
      </c>
      <c r="D29" s="38" t="s">
        <v>38</v>
      </c>
      <c r="E29" s="1"/>
      <c r="F29" s="59"/>
      <c r="G29" s="60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0" t="s">
        <v>51</v>
      </c>
      <c r="C30" s="39">
        <f>2.3%+1%</f>
        <v>0.033</v>
      </c>
      <c r="D30" s="38" t="s">
        <v>38</v>
      </c>
      <c r="E30" s="1"/>
      <c r="F30" s="54"/>
      <c r="G30" s="6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2" t="s">
        <v>52</v>
      </c>
      <c r="C31" s="63">
        <v>0.03</v>
      </c>
      <c r="D31" s="64" t="s">
        <v>38</v>
      </c>
      <c r="E31" s="1"/>
      <c r="F31" s="1"/>
      <c r="G31" s="65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9"/>
      <c r="C32" s="19"/>
      <c r="D32" s="19"/>
      <c r="E32" s="19"/>
      <c r="F32" s="1"/>
      <c r="G32" s="65"/>
      <c r="H32" s="31"/>
      <c r="I32" s="31"/>
      <c r="J32" s="31"/>
      <c r="K32" s="31"/>
      <c r="L32" s="31"/>
      <c r="M32" s="31"/>
      <c r="N32" s="31"/>
      <c r="O32" s="31"/>
      <c r="P32" s="66"/>
      <c r="Q32" s="3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" t="s">
        <v>53</v>
      </c>
      <c r="C33" s="67"/>
      <c r="D33" s="19"/>
      <c r="E33" s="19"/>
      <c r="F33" s="1"/>
      <c r="G33" s="65"/>
      <c r="H33" s="31"/>
      <c r="I33" s="31"/>
      <c r="J33" s="31"/>
      <c r="K33" s="31"/>
      <c r="L33" s="31"/>
      <c r="M33" s="31"/>
      <c r="N33" s="31"/>
      <c r="O33" s="31"/>
      <c r="P33" s="66"/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0" t="s">
        <v>54</v>
      </c>
      <c r="C34" s="68">
        <f>+I13/I15</f>
        <v>1.55659478</v>
      </c>
      <c r="D34" s="19"/>
      <c r="E34" s="1"/>
      <c r="F34" s="1"/>
      <c r="G34" s="6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0" t="s">
        <v>55</v>
      </c>
      <c r="C35" s="68">
        <f>+I13/(I15+I16)</f>
        <v>1.55659478</v>
      </c>
      <c r="D35" s="19"/>
      <c r="E35" s="1"/>
      <c r="F35" s="1"/>
      <c r="G35" s="1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62" t="s">
        <v>56</v>
      </c>
      <c r="C36" s="69">
        <f>H6/(C5+C10)</f>
        <v>0.06857142857</v>
      </c>
      <c r="D36" s="19"/>
      <c r="E36" s="1"/>
      <c r="F36" s="1"/>
      <c r="G36" s="1"/>
      <c r="H36" s="70"/>
      <c r="I36" s="70"/>
      <c r="J36" s="70"/>
      <c r="K36" s="70"/>
      <c r="L36" s="70"/>
      <c r="M36" s="70"/>
      <c r="N36" s="70"/>
      <c r="O36" s="70"/>
      <c r="P36" s="71"/>
      <c r="Q36" s="70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9"/>
      <c r="B37" s="19"/>
      <c r="C37" s="19"/>
      <c r="D37" s="19"/>
      <c r="E37" s="19"/>
      <c r="F37" s="19"/>
      <c r="G37" s="19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"/>
      <c r="B38" s="4" t="s">
        <v>57</v>
      </c>
      <c r="C38" s="67"/>
      <c r="D38" s="19"/>
      <c r="E38" s="1"/>
      <c r="F38" s="1"/>
      <c r="G38" s="1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73" t="s">
        <v>58</v>
      </c>
      <c r="C39" s="74">
        <f>H20/$C$20</f>
        <v>0.07215839648</v>
      </c>
      <c r="D39" s="19"/>
      <c r="E39" s="1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0" t="s">
        <v>59</v>
      </c>
      <c r="C40" s="76">
        <f>IRR(G19:R19)</f>
        <v>0.1282553949</v>
      </c>
      <c r="D40" s="1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77"/>
      <c r="C41" s="18"/>
      <c r="D41" s="1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73" t="s">
        <v>60</v>
      </c>
      <c r="C42" s="78">
        <f>H20/12</f>
        <v>615</v>
      </c>
      <c r="D42" s="1"/>
      <c r="E42" s="1"/>
      <c r="F42" s="1"/>
      <c r="G42" s="1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79" t="s">
        <v>61</v>
      </c>
      <c r="C43" s="80">
        <f>Q20/12</f>
        <v>1235.494602</v>
      </c>
      <c r="D43" s="1"/>
      <c r="E43" s="1"/>
      <c r="F43" s="1"/>
      <c r="G43" s="1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9"/>
      <c r="C44" s="19"/>
      <c r="D44" s="19"/>
      <c r="E44" s="1"/>
      <c r="F44" s="1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9"/>
      <c r="C45" s="19"/>
      <c r="D45" s="1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1">
        <v>0.08</v>
      </c>
      <c r="B46" s="19"/>
      <c r="C46" s="19"/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2">
        <v>0.104</v>
      </c>
      <c r="B47" s="19"/>
      <c r="C47" s="19"/>
      <c r="D47" s="19"/>
      <c r="E47" s="1"/>
      <c r="F47" s="1"/>
      <c r="G47" s="1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9"/>
      <c r="C48" s="19"/>
      <c r="D48" s="19"/>
      <c r="E48" s="1"/>
      <c r="F48" s="1"/>
      <c r="G48" s="1"/>
      <c r="H48" s="8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9"/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42:C43 H20:Q20 R19">
    <cfRule type="cellIs" dxfId="0" priority="1" operator="greaterThan">
      <formula>0</formula>
    </cfRule>
  </conditionalFormatting>
  <conditionalFormatting sqref="C42:C43 H20:Q20 R19">
    <cfRule type="cellIs" dxfId="1" priority="2" operator="lessThan">
      <formula>1</formula>
    </cfRule>
  </conditionalFormatting>
  <dataValidations>
    <dataValidation type="list" allowBlank="1" sqref="D6">
      <formula1>A46:A47</formula1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0.1" defaultRowHeight="15.0"/>
  <cols>
    <col customWidth="1" min="1" max="1" width="1.8"/>
    <col customWidth="1" min="2" max="2" width="22.1"/>
    <col customWidth="1" min="3" max="3" width="8.0"/>
    <col customWidth="1" min="4" max="4" width="8.8"/>
    <col customWidth="1" min="5" max="5" width="3.3"/>
    <col customWidth="1" min="6" max="6" width="11.8"/>
    <col customWidth="1" min="7" max="7" width="7.8"/>
    <col customWidth="1" min="8" max="8" width="7.1"/>
    <col customWidth="1" min="9" max="9" width="5.7"/>
    <col customWidth="1" min="10" max="11" width="7.1"/>
    <col customWidth="1" min="12" max="17" width="5.7"/>
    <col customWidth="1" min="18" max="18" width="6.0"/>
    <col customWidth="1" min="19" max="26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4" t="s">
        <v>1</v>
      </c>
      <c r="C4" s="5"/>
      <c r="D4" s="6"/>
      <c r="E4" s="1"/>
      <c r="F4" s="4" t="s">
        <v>2</v>
      </c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1"/>
      <c r="T4" s="1"/>
      <c r="U4" s="1"/>
      <c r="V4" s="1"/>
      <c r="W4" s="1"/>
      <c r="X4" s="1"/>
      <c r="Y4" s="1"/>
      <c r="Z4" s="1"/>
    </row>
    <row r="5">
      <c r="A5" s="1"/>
      <c r="B5" s="10" t="s">
        <v>3</v>
      </c>
      <c r="C5" s="11">
        <v>350000.0</v>
      </c>
      <c r="D5" s="12"/>
      <c r="E5" s="1"/>
      <c r="F5" s="10"/>
      <c r="G5" s="13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  <c r="O5" s="13" t="s">
        <v>12</v>
      </c>
      <c r="P5" s="13" t="s">
        <v>13</v>
      </c>
      <c r="Q5" s="13" t="s">
        <v>14</v>
      </c>
      <c r="R5" s="14" t="s">
        <v>15</v>
      </c>
      <c r="S5" s="1"/>
      <c r="T5" s="1"/>
      <c r="U5" s="1"/>
      <c r="V5" s="1"/>
      <c r="W5" s="1"/>
      <c r="X5" s="1"/>
      <c r="Y5" s="1"/>
      <c r="Z5" s="1"/>
    </row>
    <row r="6">
      <c r="A6" s="1"/>
      <c r="B6" s="10" t="s">
        <v>16</v>
      </c>
      <c r="C6" s="15">
        <f>C5*D6</f>
        <v>28000</v>
      </c>
      <c r="D6" s="16">
        <v>0.08</v>
      </c>
      <c r="E6" s="1"/>
      <c r="F6" s="17" t="s">
        <v>17</v>
      </c>
      <c r="G6" s="1"/>
      <c r="H6" s="15">
        <f>C23*12</f>
        <v>36000</v>
      </c>
      <c r="I6" s="15">
        <f t="shared" ref="I6:Q6" si="1">(1+$C$30)*H6</f>
        <v>37188</v>
      </c>
      <c r="J6" s="15">
        <f t="shared" si="1"/>
        <v>38415.204</v>
      </c>
      <c r="K6" s="15">
        <f t="shared" si="1"/>
        <v>39682.90573</v>
      </c>
      <c r="L6" s="15">
        <f t="shared" si="1"/>
        <v>40992.44162</v>
      </c>
      <c r="M6" s="15">
        <f t="shared" si="1"/>
        <v>42345.19219</v>
      </c>
      <c r="N6" s="15">
        <f t="shared" si="1"/>
        <v>43742.58354</v>
      </c>
      <c r="O6" s="15">
        <f t="shared" si="1"/>
        <v>45186.08879</v>
      </c>
      <c r="P6" s="15">
        <f t="shared" si="1"/>
        <v>46677.22972</v>
      </c>
      <c r="Q6" s="15">
        <f t="shared" si="1"/>
        <v>48217.5783</v>
      </c>
      <c r="R6" s="12"/>
      <c r="S6" s="1"/>
      <c r="T6" s="1"/>
      <c r="U6" s="1"/>
      <c r="V6" s="1"/>
      <c r="W6" s="1"/>
      <c r="X6" s="1"/>
      <c r="Y6" s="1"/>
      <c r="Z6" s="1"/>
    </row>
    <row r="7">
      <c r="A7" s="1"/>
      <c r="B7" s="10" t="s">
        <v>18</v>
      </c>
      <c r="C7" s="15">
        <f>C5*0.0065</f>
        <v>2275</v>
      </c>
      <c r="D7" s="18"/>
      <c r="E7" s="1"/>
      <c r="F7" s="17" t="s">
        <v>19</v>
      </c>
      <c r="G7" s="19"/>
      <c r="H7" s="15">
        <f t="shared" ref="H7:H9" si="3">+C24*12</f>
        <v>0</v>
      </c>
      <c r="I7" s="15">
        <f t="shared" ref="I7:Q7" si="2">+(1+$C$30)*H7</f>
        <v>0</v>
      </c>
      <c r="J7" s="15">
        <f t="shared" si="2"/>
        <v>0</v>
      </c>
      <c r="K7" s="15">
        <f t="shared" si="2"/>
        <v>0</v>
      </c>
      <c r="L7" s="15">
        <f t="shared" si="2"/>
        <v>0</v>
      </c>
      <c r="M7" s="15">
        <f t="shared" si="2"/>
        <v>0</v>
      </c>
      <c r="N7" s="15">
        <f t="shared" si="2"/>
        <v>0</v>
      </c>
      <c r="O7" s="15">
        <f t="shared" si="2"/>
        <v>0</v>
      </c>
      <c r="P7" s="15">
        <f t="shared" si="2"/>
        <v>0</v>
      </c>
      <c r="Q7" s="15">
        <f t="shared" si="2"/>
        <v>0</v>
      </c>
      <c r="R7" s="18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20</v>
      </c>
      <c r="C8" s="15">
        <v>1000.0</v>
      </c>
      <c r="D8" s="18"/>
      <c r="E8" s="1"/>
      <c r="F8" s="17" t="s">
        <v>21</v>
      </c>
      <c r="G8" s="19"/>
      <c r="H8" s="15">
        <f t="shared" si="3"/>
        <v>0</v>
      </c>
      <c r="I8" s="15">
        <f t="shared" ref="I8:Q8" si="4">+(1+$C$30)*H8</f>
        <v>0</v>
      </c>
      <c r="J8" s="15">
        <f t="shared" si="4"/>
        <v>0</v>
      </c>
      <c r="K8" s="15">
        <f t="shared" si="4"/>
        <v>0</v>
      </c>
      <c r="L8" s="15">
        <f t="shared" si="4"/>
        <v>0</v>
      </c>
      <c r="M8" s="15">
        <f t="shared" si="4"/>
        <v>0</v>
      </c>
      <c r="N8" s="15">
        <f t="shared" si="4"/>
        <v>0</v>
      </c>
      <c r="O8" s="15">
        <f t="shared" si="4"/>
        <v>0</v>
      </c>
      <c r="P8" s="15">
        <f t="shared" si="4"/>
        <v>0</v>
      </c>
      <c r="Q8" s="15">
        <f t="shared" si="4"/>
        <v>0</v>
      </c>
      <c r="R8" s="18"/>
      <c r="S8" s="1"/>
      <c r="T8" s="1"/>
      <c r="U8" s="1"/>
      <c r="V8" s="1"/>
      <c r="W8" s="1"/>
      <c r="X8" s="1"/>
      <c r="Y8" s="1"/>
      <c r="Z8" s="1"/>
    </row>
    <row r="9">
      <c r="A9" s="1"/>
      <c r="B9" s="10" t="s">
        <v>22</v>
      </c>
      <c r="C9" s="84">
        <v>1800.0</v>
      </c>
      <c r="D9" s="18"/>
      <c r="E9" s="1"/>
      <c r="F9" s="17" t="s">
        <v>23</v>
      </c>
      <c r="G9" s="1"/>
      <c r="H9" s="15">
        <f t="shared" si="3"/>
        <v>600</v>
      </c>
      <c r="I9" s="15">
        <f t="shared" ref="I9:Q9" si="5">+(1+$C$30)*H9</f>
        <v>619.8</v>
      </c>
      <c r="J9" s="15">
        <f t="shared" si="5"/>
        <v>640.2534</v>
      </c>
      <c r="K9" s="15">
        <f t="shared" si="5"/>
        <v>661.3817622</v>
      </c>
      <c r="L9" s="15">
        <f t="shared" si="5"/>
        <v>683.2073604</v>
      </c>
      <c r="M9" s="15">
        <f t="shared" si="5"/>
        <v>705.7532032</v>
      </c>
      <c r="N9" s="15">
        <f t="shared" si="5"/>
        <v>729.043059</v>
      </c>
      <c r="O9" s="15">
        <f t="shared" si="5"/>
        <v>753.1014799</v>
      </c>
      <c r="P9" s="15">
        <f t="shared" si="5"/>
        <v>777.9538287</v>
      </c>
      <c r="Q9" s="15">
        <f t="shared" si="5"/>
        <v>803.6263051</v>
      </c>
      <c r="R9" s="12"/>
      <c r="S9" s="1"/>
      <c r="T9" s="1"/>
      <c r="U9" s="1"/>
      <c r="V9" s="1"/>
      <c r="W9" s="1"/>
      <c r="X9" s="1"/>
      <c r="Y9" s="1"/>
      <c r="Z9" s="1"/>
    </row>
    <row r="10">
      <c r="A10" s="1"/>
      <c r="B10" s="10" t="s">
        <v>24</v>
      </c>
      <c r="C10" s="11">
        <v>25000.0</v>
      </c>
      <c r="D10" s="12"/>
      <c r="E10" s="1"/>
      <c r="F10" s="17" t="s">
        <v>25</v>
      </c>
      <c r="G10" s="1"/>
      <c r="H10" s="15">
        <f t="shared" ref="H10:Q10" si="6">+$C$28</f>
        <v>0</v>
      </c>
      <c r="I10" s="15">
        <f t="shared" si="6"/>
        <v>0</v>
      </c>
      <c r="J10" s="15">
        <f t="shared" si="6"/>
        <v>0</v>
      </c>
      <c r="K10" s="15">
        <f t="shared" si="6"/>
        <v>0</v>
      </c>
      <c r="L10" s="15">
        <f t="shared" si="6"/>
        <v>0</v>
      </c>
      <c r="M10" s="15">
        <f t="shared" si="6"/>
        <v>0</v>
      </c>
      <c r="N10" s="15">
        <f t="shared" si="6"/>
        <v>0</v>
      </c>
      <c r="O10" s="15">
        <f t="shared" si="6"/>
        <v>0</v>
      </c>
      <c r="P10" s="15">
        <f t="shared" si="6"/>
        <v>0</v>
      </c>
      <c r="Q10" s="15">
        <f t="shared" si="6"/>
        <v>0</v>
      </c>
      <c r="R10" s="12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 t="s">
        <v>26</v>
      </c>
      <c r="C11" s="20"/>
      <c r="D11" s="21"/>
      <c r="E11" s="1"/>
      <c r="F11" s="17" t="s">
        <v>27</v>
      </c>
      <c r="G11" s="1"/>
      <c r="H11" s="15">
        <f>+C29</f>
        <v>500</v>
      </c>
      <c r="I11" s="15">
        <f t="shared" ref="I11:Q11" si="7">(1+$C$30)*H11</f>
        <v>516.5</v>
      </c>
      <c r="J11" s="15">
        <f t="shared" si="7"/>
        <v>533.5445</v>
      </c>
      <c r="K11" s="15">
        <f t="shared" si="7"/>
        <v>551.1514685</v>
      </c>
      <c r="L11" s="15">
        <f t="shared" si="7"/>
        <v>569.339467</v>
      </c>
      <c r="M11" s="15">
        <f t="shared" si="7"/>
        <v>588.1276694</v>
      </c>
      <c r="N11" s="15">
        <f t="shared" si="7"/>
        <v>607.5358825</v>
      </c>
      <c r="O11" s="15">
        <f t="shared" si="7"/>
        <v>627.5845666</v>
      </c>
      <c r="P11" s="15">
        <f t="shared" si="7"/>
        <v>648.2948573</v>
      </c>
      <c r="Q11" s="15">
        <f t="shared" si="7"/>
        <v>669.6885876</v>
      </c>
      <c r="R11" s="12"/>
      <c r="S11" s="1"/>
      <c r="T11" s="1"/>
      <c r="U11" s="1"/>
      <c r="V11" s="1"/>
      <c r="W11" s="1"/>
      <c r="X11" s="1"/>
      <c r="Y11" s="1"/>
      <c r="Z11" s="1"/>
    </row>
    <row r="12">
      <c r="A12" s="1"/>
      <c r="B12" s="22" t="s">
        <v>28</v>
      </c>
      <c r="C12" s="23">
        <f>C5+C6+C7+C8+C9+C10+C11</f>
        <v>408075</v>
      </c>
      <c r="D12" s="24"/>
      <c r="E12" s="1"/>
      <c r="F12" s="17" t="s">
        <v>29</v>
      </c>
      <c r="G12" s="19"/>
      <c r="H12" s="15">
        <f t="shared" ref="H12:Q12" si="8">+$C$27*H6</f>
        <v>1440</v>
      </c>
      <c r="I12" s="15">
        <f t="shared" si="8"/>
        <v>1487.52</v>
      </c>
      <c r="J12" s="15">
        <f t="shared" si="8"/>
        <v>1536.60816</v>
      </c>
      <c r="K12" s="15">
        <f t="shared" si="8"/>
        <v>1587.316229</v>
      </c>
      <c r="L12" s="15">
        <f t="shared" si="8"/>
        <v>1639.697665</v>
      </c>
      <c r="M12" s="15">
        <f t="shared" si="8"/>
        <v>1693.807688</v>
      </c>
      <c r="N12" s="15">
        <f t="shared" si="8"/>
        <v>1749.703341</v>
      </c>
      <c r="O12" s="15">
        <f t="shared" si="8"/>
        <v>1807.443552</v>
      </c>
      <c r="P12" s="15">
        <f t="shared" si="8"/>
        <v>1867.089189</v>
      </c>
      <c r="Q12" s="15">
        <f t="shared" si="8"/>
        <v>1928.703132</v>
      </c>
      <c r="R12" s="18"/>
      <c r="S12" s="1"/>
      <c r="T12" s="1"/>
      <c r="U12" s="1"/>
      <c r="V12" s="1"/>
      <c r="W12" s="1"/>
      <c r="X12" s="1"/>
      <c r="Y12" s="1"/>
      <c r="Z12" s="1"/>
    </row>
    <row r="13">
      <c r="A13" s="1"/>
      <c r="B13" s="19"/>
      <c r="C13" s="19"/>
      <c r="D13" s="19"/>
      <c r="E13" s="1"/>
      <c r="F13" s="25" t="s">
        <v>30</v>
      </c>
      <c r="G13" s="26"/>
      <c r="H13" s="27">
        <f t="shared" ref="H13:Q13" si="9">+H6-SUM(H7:H12)</f>
        <v>33460</v>
      </c>
      <c r="I13" s="27">
        <f t="shared" si="9"/>
        <v>34564.18</v>
      </c>
      <c r="J13" s="27">
        <f t="shared" si="9"/>
        <v>35704.79794</v>
      </c>
      <c r="K13" s="27">
        <f t="shared" si="9"/>
        <v>36883.05627</v>
      </c>
      <c r="L13" s="27">
        <f t="shared" si="9"/>
        <v>38100.19713</v>
      </c>
      <c r="M13" s="27">
        <f t="shared" si="9"/>
        <v>39357.50363</v>
      </c>
      <c r="N13" s="27">
        <f t="shared" si="9"/>
        <v>40656.30125</v>
      </c>
      <c r="O13" s="27">
        <f t="shared" si="9"/>
        <v>41997.9592</v>
      </c>
      <c r="P13" s="27">
        <f t="shared" si="9"/>
        <v>43383.89185</v>
      </c>
      <c r="Q13" s="27">
        <f t="shared" si="9"/>
        <v>44815.56028</v>
      </c>
      <c r="R13" s="12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31</v>
      </c>
      <c r="C14" s="28"/>
      <c r="D14" s="29"/>
      <c r="E14" s="1"/>
      <c r="F14" s="30"/>
      <c r="G14" s="1"/>
      <c r="H14" s="31"/>
      <c r="I14" s="1"/>
      <c r="J14" s="1"/>
      <c r="K14" s="1"/>
      <c r="L14" s="1"/>
      <c r="M14" s="1"/>
      <c r="N14" s="1"/>
      <c r="O14" s="1"/>
      <c r="P14" s="1"/>
      <c r="Q14" s="1"/>
      <c r="R14" s="12"/>
      <c r="S14" s="1"/>
      <c r="T14" s="1"/>
      <c r="U14" s="1"/>
      <c r="V14" s="1"/>
      <c r="W14" s="1"/>
      <c r="X14" s="1"/>
      <c r="Y14" s="1"/>
      <c r="Z14" s="1"/>
    </row>
    <row r="15">
      <c r="A15" s="1"/>
      <c r="B15" s="32" t="s">
        <v>32</v>
      </c>
      <c r="C15" s="85">
        <f>(C23*12)*14</f>
        <v>504000</v>
      </c>
      <c r="D15" s="34">
        <v>1.0</v>
      </c>
      <c r="E15" s="1"/>
      <c r="F15" s="17" t="s">
        <v>33</v>
      </c>
      <c r="G15" s="1"/>
      <c r="H15" s="35">
        <f>+C18*C17</f>
        <v>20361.6</v>
      </c>
      <c r="I15" s="15">
        <f>+C18*C17</f>
        <v>20361.6</v>
      </c>
      <c r="J15" s="15">
        <f t="shared" ref="J15:Q15" si="10">+$C$18*I22</f>
        <v>20361.6</v>
      </c>
      <c r="K15" s="15">
        <f t="shared" si="10"/>
        <v>20361.6</v>
      </c>
      <c r="L15" s="15">
        <f t="shared" si="10"/>
        <v>20361.6</v>
      </c>
      <c r="M15" s="15">
        <f t="shared" si="10"/>
        <v>20361.6</v>
      </c>
      <c r="N15" s="15">
        <f t="shared" si="10"/>
        <v>20361.6</v>
      </c>
      <c r="O15" s="15">
        <f t="shared" si="10"/>
        <v>20361.6</v>
      </c>
      <c r="P15" s="15">
        <f t="shared" si="10"/>
        <v>20361.6</v>
      </c>
      <c r="Q15" s="15">
        <f t="shared" si="10"/>
        <v>20361.6</v>
      </c>
      <c r="R15" s="12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0" t="s">
        <v>34</v>
      </c>
      <c r="C16" s="36">
        <v>0.8</v>
      </c>
      <c r="D16" s="18"/>
      <c r="E16" s="1"/>
      <c r="F16" s="17" t="s">
        <v>35</v>
      </c>
      <c r="G16" s="1"/>
      <c r="H16" s="35">
        <f>+C19*C17</f>
        <v>0</v>
      </c>
      <c r="I16" s="15">
        <f>+C19*C17</f>
        <v>0</v>
      </c>
      <c r="J16" s="15">
        <f t="shared" ref="J16:Q16" si="11">+I16</f>
        <v>0</v>
      </c>
      <c r="K16" s="15">
        <f t="shared" si="11"/>
        <v>0</v>
      </c>
      <c r="L16" s="15">
        <f t="shared" si="11"/>
        <v>0</v>
      </c>
      <c r="M16" s="15">
        <f t="shared" si="11"/>
        <v>0</v>
      </c>
      <c r="N16" s="15">
        <f t="shared" si="11"/>
        <v>0</v>
      </c>
      <c r="O16" s="15">
        <f t="shared" si="11"/>
        <v>0</v>
      </c>
      <c r="P16" s="15">
        <f t="shared" si="11"/>
        <v>0</v>
      </c>
      <c r="Q16" s="15">
        <f t="shared" si="11"/>
        <v>0</v>
      </c>
      <c r="R16" s="12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0" t="s">
        <v>36</v>
      </c>
      <c r="C17" s="15">
        <f>C15*C16</f>
        <v>403200</v>
      </c>
      <c r="D17" s="18"/>
      <c r="E17" s="1"/>
      <c r="F17" s="25" t="s">
        <v>37</v>
      </c>
      <c r="G17" s="26"/>
      <c r="H17" s="27">
        <f t="shared" ref="H17:Q17" si="12">SUM(H15:H16)</f>
        <v>20361.6</v>
      </c>
      <c r="I17" s="27">
        <f t="shared" si="12"/>
        <v>20361.6</v>
      </c>
      <c r="J17" s="27">
        <f t="shared" si="12"/>
        <v>20361.6</v>
      </c>
      <c r="K17" s="27">
        <f t="shared" si="12"/>
        <v>20361.6</v>
      </c>
      <c r="L17" s="27">
        <f t="shared" si="12"/>
        <v>20361.6</v>
      </c>
      <c r="M17" s="27">
        <f t="shared" si="12"/>
        <v>20361.6</v>
      </c>
      <c r="N17" s="27">
        <f t="shared" si="12"/>
        <v>20361.6</v>
      </c>
      <c r="O17" s="27">
        <f t="shared" si="12"/>
        <v>20361.6</v>
      </c>
      <c r="P17" s="27">
        <f t="shared" si="12"/>
        <v>20361.6</v>
      </c>
      <c r="Q17" s="27">
        <f t="shared" si="12"/>
        <v>20361.6</v>
      </c>
      <c r="R17" s="12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0" t="s">
        <v>33</v>
      </c>
      <c r="C18" s="39">
        <v>0.0505</v>
      </c>
      <c r="D18" s="38" t="s">
        <v>38</v>
      </c>
      <c r="E18" s="1"/>
      <c r="F18" s="30"/>
      <c r="G18" s="1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2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0" t="s">
        <v>35</v>
      </c>
      <c r="C19" s="39">
        <v>0.0</v>
      </c>
      <c r="D19" s="38" t="s">
        <v>38</v>
      </c>
      <c r="E19" s="1"/>
      <c r="F19" s="40" t="s">
        <v>39</v>
      </c>
      <c r="G19" s="41">
        <f>-C20</f>
        <v>-4875</v>
      </c>
      <c r="H19" s="41">
        <f t="shared" ref="H19:Q19" si="13">+H13-H15</f>
        <v>13098.4</v>
      </c>
      <c r="I19" s="41">
        <f t="shared" si="13"/>
        <v>14202.58</v>
      </c>
      <c r="J19" s="41">
        <f t="shared" si="13"/>
        <v>15343.19794</v>
      </c>
      <c r="K19" s="41">
        <f t="shared" si="13"/>
        <v>16521.45627</v>
      </c>
      <c r="L19" s="41">
        <f t="shared" si="13"/>
        <v>17738.59713</v>
      </c>
      <c r="M19" s="41">
        <f t="shared" si="13"/>
        <v>18995.90363</v>
      </c>
      <c r="N19" s="41">
        <f t="shared" si="13"/>
        <v>20294.70125</v>
      </c>
      <c r="O19" s="41">
        <f t="shared" si="13"/>
        <v>21636.3592</v>
      </c>
      <c r="P19" s="41">
        <f t="shared" si="13"/>
        <v>23022.29185</v>
      </c>
      <c r="Q19" s="41">
        <f t="shared" si="13"/>
        <v>24453.96028</v>
      </c>
      <c r="R19" s="42">
        <f>Q24-Q22</f>
        <v>86089.94394</v>
      </c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43" t="s">
        <v>40</v>
      </c>
      <c r="C20" s="44">
        <f>C12-C17</f>
        <v>4875</v>
      </c>
      <c r="D20" s="45"/>
      <c r="E20" s="1"/>
      <c r="F20" s="46" t="s">
        <v>41</v>
      </c>
      <c r="G20" s="19"/>
      <c r="H20" s="47">
        <f t="shared" ref="H20:Q20" si="14">+H13-H17</f>
        <v>13098.4</v>
      </c>
      <c r="I20" s="47">
        <f t="shared" si="14"/>
        <v>14202.58</v>
      </c>
      <c r="J20" s="47">
        <f t="shared" si="14"/>
        <v>15343.19794</v>
      </c>
      <c r="K20" s="47">
        <f t="shared" si="14"/>
        <v>16521.45627</v>
      </c>
      <c r="L20" s="47">
        <f t="shared" si="14"/>
        <v>17738.59713</v>
      </c>
      <c r="M20" s="47">
        <f t="shared" si="14"/>
        <v>18995.90363</v>
      </c>
      <c r="N20" s="47">
        <f t="shared" si="14"/>
        <v>20294.70125</v>
      </c>
      <c r="O20" s="47">
        <f t="shared" si="14"/>
        <v>21636.3592</v>
      </c>
      <c r="P20" s="47">
        <f t="shared" si="14"/>
        <v>23022.29185</v>
      </c>
      <c r="Q20" s="47">
        <f t="shared" si="14"/>
        <v>24453.96028</v>
      </c>
      <c r="R20" s="18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9"/>
      <c r="C21" s="19"/>
      <c r="D21" s="19"/>
      <c r="E21" s="1"/>
      <c r="F21" s="30"/>
      <c r="G21" s="1"/>
      <c r="H21" s="1"/>
      <c r="I21" s="48"/>
      <c r="J21" s="48"/>
      <c r="K21" s="48"/>
      <c r="L21" s="48"/>
      <c r="M21" s="1"/>
      <c r="N21" s="1"/>
      <c r="O21" s="1"/>
      <c r="P21" s="1"/>
      <c r="Q21" s="31"/>
      <c r="R21" s="12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49" t="s">
        <v>42</v>
      </c>
      <c r="C22" s="50"/>
      <c r="D22" s="51"/>
      <c r="E22" s="1"/>
      <c r="F22" s="17" t="s">
        <v>43</v>
      </c>
      <c r="G22" s="1"/>
      <c r="H22" s="35">
        <f>C17-H16</f>
        <v>403200</v>
      </c>
      <c r="I22" s="15">
        <f t="shared" ref="I22:Q22" si="15">+H22-I16</f>
        <v>403200</v>
      </c>
      <c r="J22" s="15">
        <f t="shared" si="15"/>
        <v>403200</v>
      </c>
      <c r="K22" s="15">
        <f t="shared" si="15"/>
        <v>403200</v>
      </c>
      <c r="L22" s="15">
        <f t="shared" si="15"/>
        <v>403200</v>
      </c>
      <c r="M22" s="15">
        <f t="shared" si="15"/>
        <v>403200</v>
      </c>
      <c r="N22" s="15">
        <f t="shared" si="15"/>
        <v>403200</v>
      </c>
      <c r="O22" s="15">
        <f t="shared" si="15"/>
        <v>403200</v>
      </c>
      <c r="P22" s="15">
        <f t="shared" si="15"/>
        <v>403200</v>
      </c>
      <c r="Q22" s="15">
        <f t="shared" si="15"/>
        <v>403200</v>
      </c>
      <c r="R22" s="12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0" t="s">
        <v>17</v>
      </c>
      <c r="C23" s="11">
        <v>3000.0</v>
      </c>
      <c r="D23" s="38" t="s">
        <v>44</v>
      </c>
      <c r="E23" s="1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2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0" t="s">
        <v>19</v>
      </c>
      <c r="C24" s="20"/>
      <c r="D24" s="38" t="s">
        <v>44</v>
      </c>
      <c r="E24" s="1"/>
      <c r="F24" s="40" t="s">
        <v>45</v>
      </c>
      <c r="G24" s="41">
        <f>-C20</f>
        <v>-4875</v>
      </c>
      <c r="H24" s="41">
        <f>C5+(C10)</f>
        <v>375000</v>
      </c>
      <c r="I24" s="41">
        <f t="shared" ref="I24:Q24" si="16">H24*(1+$C$31)</f>
        <v>386250</v>
      </c>
      <c r="J24" s="41">
        <f t="shared" si="16"/>
        <v>397837.5</v>
      </c>
      <c r="K24" s="41">
        <f t="shared" si="16"/>
        <v>409772.625</v>
      </c>
      <c r="L24" s="41">
        <f t="shared" si="16"/>
        <v>422065.8038</v>
      </c>
      <c r="M24" s="41">
        <f t="shared" si="16"/>
        <v>434727.7779</v>
      </c>
      <c r="N24" s="41">
        <f t="shared" si="16"/>
        <v>447769.6112</v>
      </c>
      <c r="O24" s="41">
        <f t="shared" si="16"/>
        <v>461202.6995</v>
      </c>
      <c r="P24" s="41">
        <f t="shared" si="16"/>
        <v>475038.7805</v>
      </c>
      <c r="Q24" s="41">
        <f t="shared" si="16"/>
        <v>489289.9439</v>
      </c>
      <c r="R24" s="52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0" t="s">
        <v>46</v>
      </c>
      <c r="C25" s="20">
        <v>0.0</v>
      </c>
      <c r="D25" s="38" t="s">
        <v>44</v>
      </c>
      <c r="E25" s="1"/>
      <c r="F25" s="53"/>
      <c r="G25" s="1"/>
      <c r="H25" s="1"/>
      <c r="I25" s="1"/>
      <c r="J25" s="31"/>
      <c r="K25" s="1"/>
      <c r="L25" s="1"/>
      <c r="M25" s="1"/>
      <c r="N25" s="1"/>
      <c r="O25" s="1"/>
      <c r="P25" s="1"/>
      <c r="Q25" s="1"/>
      <c r="R25" s="12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0" t="s">
        <v>47</v>
      </c>
      <c r="C26" s="20">
        <v>50.0</v>
      </c>
      <c r="D26" s="38" t="s">
        <v>44</v>
      </c>
      <c r="E26" s="1"/>
      <c r="F26" s="40" t="s">
        <v>48</v>
      </c>
      <c r="G26" s="41"/>
      <c r="H26" s="41">
        <f t="shared" ref="H26:Q26" si="17">H24-H22</f>
        <v>-28200</v>
      </c>
      <c r="I26" s="41">
        <f t="shared" si="17"/>
        <v>-16950</v>
      </c>
      <c r="J26" s="41">
        <f t="shared" si="17"/>
        <v>-5362.5</v>
      </c>
      <c r="K26" s="41">
        <f t="shared" si="17"/>
        <v>6572.625</v>
      </c>
      <c r="L26" s="41">
        <f t="shared" si="17"/>
        <v>18865.80375</v>
      </c>
      <c r="M26" s="41">
        <f t="shared" si="17"/>
        <v>31527.77786</v>
      </c>
      <c r="N26" s="41">
        <f t="shared" si="17"/>
        <v>44569.6112</v>
      </c>
      <c r="O26" s="41">
        <f t="shared" si="17"/>
        <v>58002.69953</v>
      </c>
      <c r="P26" s="41">
        <f t="shared" si="17"/>
        <v>71838.78052</v>
      </c>
      <c r="Q26" s="41">
        <f t="shared" si="17"/>
        <v>86089.94394</v>
      </c>
      <c r="R26" s="52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54"/>
      <c r="B27" s="10" t="s">
        <v>29</v>
      </c>
      <c r="C27" s="55">
        <v>0.04</v>
      </c>
      <c r="D27" s="38"/>
      <c r="E27" s="1"/>
      <c r="F27" s="56"/>
      <c r="G27" s="19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12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0" t="s">
        <v>25</v>
      </c>
      <c r="C28" s="20">
        <v>0.0</v>
      </c>
      <c r="D28" s="38" t="s">
        <v>38</v>
      </c>
      <c r="E28" s="1"/>
      <c r="F28" s="40" t="s">
        <v>49</v>
      </c>
      <c r="G28" s="41"/>
      <c r="H28" s="58">
        <f t="shared" ref="H28:Q28" si="18">H22/H24</f>
        <v>1.0752</v>
      </c>
      <c r="I28" s="58">
        <f t="shared" si="18"/>
        <v>1.043883495</v>
      </c>
      <c r="J28" s="58">
        <f t="shared" si="18"/>
        <v>1.013479122</v>
      </c>
      <c r="K28" s="58">
        <f t="shared" si="18"/>
        <v>0.9839603121</v>
      </c>
      <c r="L28" s="58">
        <f t="shared" si="18"/>
        <v>0.9553012739</v>
      </c>
      <c r="M28" s="58">
        <f t="shared" si="18"/>
        <v>0.927476965</v>
      </c>
      <c r="N28" s="58">
        <f t="shared" si="18"/>
        <v>0.9004630728</v>
      </c>
      <c r="O28" s="58">
        <f t="shared" si="18"/>
        <v>0.874235993</v>
      </c>
      <c r="P28" s="58">
        <f t="shared" si="18"/>
        <v>0.8487728087</v>
      </c>
      <c r="Q28" s="58">
        <f t="shared" si="18"/>
        <v>0.8240512706</v>
      </c>
      <c r="R28" s="52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0" t="s">
        <v>50</v>
      </c>
      <c r="C29" s="20">
        <v>500.0</v>
      </c>
      <c r="D29" s="38" t="s">
        <v>38</v>
      </c>
      <c r="E29" s="1"/>
      <c r="F29" s="59"/>
      <c r="G29" s="60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0" t="s">
        <v>51</v>
      </c>
      <c r="C30" s="39">
        <f>2.3%+1%</f>
        <v>0.033</v>
      </c>
      <c r="D30" s="38" t="s">
        <v>38</v>
      </c>
      <c r="E30" s="1"/>
      <c r="F30" s="54"/>
      <c r="G30" s="6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2" t="s">
        <v>52</v>
      </c>
      <c r="C31" s="63">
        <v>0.03</v>
      </c>
      <c r="D31" s="64" t="s">
        <v>38</v>
      </c>
      <c r="E31" s="1"/>
      <c r="F31" s="1"/>
      <c r="G31" s="65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9"/>
      <c r="C32" s="19"/>
      <c r="D32" s="19"/>
      <c r="E32" s="19"/>
      <c r="F32" s="1"/>
      <c r="G32" s="65"/>
      <c r="H32" s="31"/>
      <c r="I32" s="31"/>
      <c r="J32" s="31"/>
      <c r="K32" s="31"/>
      <c r="L32" s="31"/>
      <c r="M32" s="31"/>
      <c r="N32" s="31"/>
      <c r="O32" s="31"/>
      <c r="P32" s="66"/>
      <c r="Q32" s="3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" t="s">
        <v>53</v>
      </c>
      <c r="C33" s="67"/>
      <c r="D33" s="19"/>
      <c r="E33" s="19"/>
      <c r="F33" s="1"/>
      <c r="G33" s="65"/>
      <c r="H33" s="31"/>
      <c r="I33" s="31"/>
      <c r="J33" s="31"/>
      <c r="K33" s="31"/>
      <c r="L33" s="31"/>
      <c r="M33" s="31"/>
      <c r="N33" s="31"/>
      <c r="O33" s="31"/>
      <c r="P33" s="66"/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0" t="s">
        <v>54</v>
      </c>
      <c r="C34" s="68">
        <f>+I13/I15</f>
        <v>1.697517877</v>
      </c>
      <c r="D34" s="19"/>
      <c r="E34" s="1"/>
      <c r="F34" s="1"/>
      <c r="G34" s="6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0" t="s">
        <v>55</v>
      </c>
      <c r="C35" s="68">
        <f>+I13/(I15+I16)</f>
        <v>1.697517877</v>
      </c>
      <c r="D35" s="19"/>
      <c r="E35" s="1"/>
      <c r="F35" s="1"/>
      <c r="G35" s="1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62" t="s">
        <v>56</v>
      </c>
      <c r="C36" s="69">
        <f>H6/(C5+C10)</f>
        <v>0.096</v>
      </c>
      <c r="D36" s="19"/>
      <c r="E36" s="1"/>
      <c r="F36" s="1"/>
      <c r="G36" s="1"/>
      <c r="H36" s="70"/>
      <c r="I36" s="70"/>
      <c r="J36" s="70"/>
      <c r="K36" s="70"/>
      <c r="L36" s="70"/>
      <c r="M36" s="70"/>
      <c r="N36" s="70"/>
      <c r="O36" s="70"/>
      <c r="P36" s="71"/>
      <c r="Q36" s="70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9"/>
      <c r="B37" s="19"/>
      <c r="C37" s="19"/>
      <c r="D37" s="19"/>
      <c r="E37" s="19"/>
      <c r="F37" s="19"/>
      <c r="G37" s="19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"/>
      <c r="B38" s="4" t="s">
        <v>57</v>
      </c>
      <c r="C38" s="67"/>
      <c r="D38" s="19"/>
      <c r="E38" s="1"/>
      <c r="F38" s="1"/>
      <c r="G38" s="1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73" t="s">
        <v>58</v>
      </c>
      <c r="C39" s="74">
        <f>H20/$C$20</f>
        <v>2.686851282</v>
      </c>
      <c r="D39" s="19"/>
      <c r="E39" s="1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0" t="s">
        <v>59</v>
      </c>
      <c r="C40" s="76">
        <f>IRR(G19:R19)</f>
        <v>2.769629771</v>
      </c>
      <c r="D40" s="1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77"/>
      <c r="C41" s="18"/>
      <c r="D41" s="1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73" t="s">
        <v>60</v>
      </c>
      <c r="C42" s="78">
        <f>H20/12</f>
        <v>1091.533333</v>
      </c>
      <c r="D42" s="1"/>
      <c r="E42" s="1"/>
      <c r="F42" s="1"/>
      <c r="G42" s="1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79" t="s">
        <v>61</v>
      </c>
      <c r="C43" s="80">
        <f>Q20/12</f>
        <v>2037.830023</v>
      </c>
      <c r="D43" s="1"/>
      <c r="E43" s="1"/>
      <c r="F43" s="1"/>
      <c r="G43" s="1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9"/>
      <c r="C44" s="19"/>
      <c r="D44" s="19"/>
      <c r="E44" s="1"/>
      <c r="F44" s="1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9"/>
      <c r="C45" s="19"/>
      <c r="D45" s="1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1">
        <v>0.08</v>
      </c>
      <c r="B46" s="19"/>
      <c r="C46" s="19"/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2">
        <v>0.104</v>
      </c>
      <c r="B47" s="19"/>
      <c r="C47" s="19"/>
      <c r="D47" s="19"/>
      <c r="E47" s="1"/>
      <c r="F47" s="1"/>
      <c r="G47" s="1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9"/>
      <c r="C48" s="19"/>
      <c r="D48" s="19"/>
      <c r="E48" s="1"/>
      <c r="F48" s="1"/>
      <c r="G48" s="1"/>
      <c r="H48" s="8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9"/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42:C43 H20:Q20 R19">
    <cfRule type="cellIs" dxfId="0" priority="1" operator="greaterThan">
      <formula>0</formula>
    </cfRule>
  </conditionalFormatting>
  <conditionalFormatting sqref="C42:C43 H20:Q20 R19">
    <cfRule type="cellIs" dxfId="1" priority="2" operator="lessThan">
      <formula>1</formula>
    </cfRule>
  </conditionalFormatting>
  <dataValidations>
    <dataValidation type="list" allowBlank="1" sqref="D6">
      <formula1>A46:A47</formula1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.7"/>
    <col customWidth="1" min="2" max="2" width="14.8"/>
    <col customWidth="1" min="3" max="3" width="8.4"/>
    <col customWidth="1" min="4" max="4" width="2.0"/>
    <col customWidth="1" min="5" max="5" width="19.8"/>
    <col customWidth="1" min="6" max="6" width="8.3"/>
    <col customWidth="1" min="7" max="7" width="1.8"/>
    <col customWidth="1" min="8" max="8" width="17.4"/>
    <col customWidth="1" min="9" max="9" width="7.2"/>
    <col customWidth="1" min="10" max="27" width="5.2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1"/>
      <c r="C2" s="2" t="s">
        <v>0</v>
      </c>
      <c r="D2" s="1"/>
      <c r="E2" s="86" t="s">
        <v>62</v>
      </c>
      <c r="F2" s="19"/>
      <c r="G2" s="19"/>
      <c r="H2" s="19"/>
      <c r="I2" s="1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1"/>
      <c r="C3" s="19"/>
      <c r="D3" s="1"/>
      <c r="E3" s="19"/>
      <c r="F3" s="19"/>
      <c r="G3" s="19"/>
      <c r="H3" s="19"/>
      <c r="I3" s="1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"/>
      <c r="C4" s="1"/>
      <c r="D4" s="1"/>
      <c r="E4" s="19"/>
      <c r="F4" s="19"/>
      <c r="G4" s="19"/>
      <c r="H4" s="87" t="s">
        <v>63</v>
      </c>
      <c r="I4" s="8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4" t="s">
        <v>64</v>
      </c>
      <c r="C5" s="89"/>
      <c r="D5" s="1"/>
      <c r="E5" s="90" t="s">
        <v>65</v>
      </c>
      <c r="F5" s="88"/>
      <c r="G5" s="1"/>
      <c r="H5" s="91" t="s">
        <v>66</v>
      </c>
      <c r="I5" s="92"/>
      <c r="J5" s="19"/>
      <c r="K5" s="1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54"/>
      <c r="B6" s="93" t="s">
        <v>67</v>
      </c>
      <c r="C6" s="94">
        <v>20000.0</v>
      </c>
      <c r="D6" s="1"/>
      <c r="E6" s="10" t="s">
        <v>68</v>
      </c>
      <c r="F6" s="95">
        <f>I26</f>
        <v>962316</v>
      </c>
      <c r="G6" s="1"/>
      <c r="H6" s="96" t="s">
        <v>69</v>
      </c>
      <c r="I6" s="97">
        <f t="shared" ref="I6:I7" si="1">C6*C11</f>
        <v>288</v>
      </c>
      <c r="J6" s="19"/>
      <c r="K6" s="1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54"/>
      <c r="B7" s="93" t="s">
        <v>70</v>
      </c>
      <c r="C7" s="94">
        <v>2000000.0</v>
      </c>
      <c r="D7" s="1"/>
      <c r="E7" s="10" t="s">
        <v>71</v>
      </c>
      <c r="F7" s="98">
        <f>I20</f>
        <v>0.08965379957</v>
      </c>
      <c r="G7" s="1"/>
      <c r="H7" s="96" t="s">
        <v>72</v>
      </c>
      <c r="I7" s="97">
        <f t="shared" si="1"/>
        <v>117600</v>
      </c>
      <c r="J7" s="19"/>
      <c r="K7" s="1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54"/>
      <c r="B8" s="22" t="s">
        <v>73</v>
      </c>
      <c r="C8" s="99">
        <v>1000000.0</v>
      </c>
      <c r="D8" s="1"/>
      <c r="E8" s="10"/>
      <c r="F8" s="12"/>
      <c r="G8" s="1"/>
      <c r="H8" s="96" t="s">
        <v>74</v>
      </c>
      <c r="I8" s="97">
        <f>(C8-C14)*C13</f>
        <v>26100.44</v>
      </c>
      <c r="J8" s="19"/>
      <c r="K8" s="1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9"/>
      <c r="B9" s="19"/>
      <c r="C9" s="100"/>
      <c r="D9" s="1"/>
      <c r="E9" s="10" t="s">
        <v>75</v>
      </c>
      <c r="F9" s="95">
        <f>F6*F7</f>
        <v>86275.28579</v>
      </c>
      <c r="G9" s="1"/>
      <c r="H9" s="101" t="s">
        <v>76</v>
      </c>
      <c r="I9" s="102">
        <f>(I6+I7)-I8</f>
        <v>91787.56</v>
      </c>
      <c r="J9" s="19"/>
      <c r="K9" s="1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9"/>
      <c r="B10" s="4" t="s">
        <v>77</v>
      </c>
      <c r="C10" s="89"/>
      <c r="D10" s="1"/>
      <c r="E10" s="77"/>
      <c r="F10" s="18"/>
      <c r="G10" s="1"/>
      <c r="H10" s="103"/>
      <c r="I10" s="103"/>
      <c r="J10" s="19"/>
      <c r="K10" s="1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54"/>
      <c r="B11" s="93" t="s">
        <v>69</v>
      </c>
      <c r="C11" s="98">
        <v>0.0144</v>
      </c>
      <c r="D11" s="1"/>
      <c r="E11" s="104" t="s">
        <v>78</v>
      </c>
      <c r="F11" s="105">
        <f>F9*36%</f>
        <v>31059.10288</v>
      </c>
      <c r="G11" s="1"/>
      <c r="H11" s="106" t="s">
        <v>79</v>
      </c>
      <c r="I11" s="107"/>
      <c r="J11" s="19"/>
      <c r="K11" s="1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54"/>
      <c r="B12" s="93" t="s">
        <v>80</v>
      </c>
      <c r="C12" s="98">
        <v>0.0588</v>
      </c>
      <c r="D12" s="1"/>
      <c r="E12" s="19"/>
      <c r="F12" s="19"/>
      <c r="G12" s="1"/>
      <c r="H12" s="108" t="s">
        <v>81</v>
      </c>
      <c r="I12" s="97">
        <f t="shared" ref="I12:I13" si="2">C6</f>
        <v>20000</v>
      </c>
      <c r="J12" s="19"/>
      <c r="K12" s="1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54"/>
      <c r="B13" s="93" t="s">
        <v>74</v>
      </c>
      <c r="C13" s="98">
        <v>0.0262</v>
      </c>
      <c r="D13" s="1"/>
      <c r="E13" s="19"/>
      <c r="F13" s="19"/>
      <c r="G13" s="1"/>
      <c r="H13" s="96" t="s">
        <v>82</v>
      </c>
      <c r="I13" s="97">
        <f t="shared" si="2"/>
        <v>2000000</v>
      </c>
      <c r="J13" s="19"/>
      <c r="K13" s="1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54"/>
      <c r="B14" s="22" t="s">
        <v>83</v>
      </c>
      <c r="C14" s="109">
        <v>3800.0</v>
      </c>
      <c r="D14" s="1"/>
      <c r="E14" s="19"/>
      <c r="F14" s="19"/>
      <c r="G14" s="1"/>
      <c r="H14" s="96" t="s">
        <v>84</v>
      </c>
      <c r="I14" s="97">
        <f>C8-C14</f>
        <v>996200</v>
      </c>
      <c r="J14" s="19"/>
      <c r="K14" s="1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19"/>
      <c r="C15" s="19"/>
      <c r="D15" s="1"/>
      <c r="E15" s="19"/>
      <c r="F15" s="19"/>
      <c r="G15" s="1"/>
      <c r="H15" s="101" t="s">
        <v>85</v>
      </c>
      <c r="I15" s="102">
        <f>(I13+I12)-I14</f>
        <v>1023800</v>
      </c>
      <c r="J15" s="19"/>
      <c r="K15" s="1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"/>
      <c r="C16" s="1"/>
      <c r="D16" s="1"/>
      <c r="E16" s="19"/>
      <c r="F16" s="19"/>
      <c r="G16" s="1"/>
      <c r="H16" s="103"/>
      <c r="I16" s="103"/>
      <c r="J16" s="19"/>
      <c r="K16" s="1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/>
      <c r="C17" s="1"/>
      <c r="D17" s="1"/>
      <c r="E17" s="19"/>
      <c r="F17" s="19"/>
      <c r="G17" s="1"/>
      <c r="H17" s="106" t="s">
        <v>86</v>
      </c>
      <c r="I17" s="110"/>
      <c r="J17" s="19"/>
      <c r="K17" s="1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/>
      <c r="C18" s="1"/>
      <c r="D18" s="1"/>
      <c r="E18" s="19"/>
      <c r="F18" s="19"/>
      <c r="G18" s="1"/>
      <c r="H18" s="108" t="s">
        <v>85</v>
      </c>
      <c r="I18" s="97">
        <f>I15</f>
        <v>1023800</v>
      </c>
      <c r="J18" s="19"/>
      <c r="K18" s="1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"/>
      <c r="C19" s="1"/>
      <c r="D19" s="1"/>
      <c r="E19" s="19"/>
      <c r="F19" s="19"/>
      <c r="G19" s="1"/>
      <c r="H19" s="96" t="s">
        <v>76</v>
      </c>
      <c r="I19" s="97">
        <f>I9</f>
        <v>91787.56</v>
      </c>
      <c r="J19" s="19"/>
      <c r="K19" s="1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/>
      <c r="C20" s="1"/>
      <c r="D20" s="1"/>
      <c r="E20" s="19"/>
      <c r="F20" s="19"/>
      <c r="G20" s="1"/>
      <c r="H20" s="101" t="s">
        <v>71</v>
      </c>
      <c r="I20" s="111">
        <f>I19/I18</f>
        <v>0.08965379957</v>
      </c>
      <c r="J20" s="19"/>
      <c r="K20" s="1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9"/>
      <c r="F21" s="19"/>
      <c r="G21" s="1"/>
      <c r="H21" s="103"/>
      <c r="I21" s="103"/>
      <c r="J21" s="19"/>
      <c r="K21" s="1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9"/>
      <c r="F22" s="19"/>
      <c r="G22" s="19"/>
      <c r="H22" s="112" t="s">
        <v>87</v>
      </c>
      <c r="I22" s="107"/>
      <c r="J22" s="19"/>
      <c r="K22" s="1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9"/>
      <c r="F23" s="19"/>
      <c r="G23" s="1"/>
      <c r="H23" s="113" t="s">
        <v>88</v>
      </c>
      <c r="I23" s="97">
        <f>C6+C7</f>
        <v>2020000</v>
      </c>
      <c r="J23" s="19"/>
      <c r="K23" s="1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9"/>
      <c r="F24" s="19"/>
      <c r="G24" s="1"/>
      <c r="H24" s="113" t="s">
        <v>89</v>
      </c>
      <c r="I24" s="97">
        <f>C8</f>
        <v>1000000</v>
      </c>
      <c r="J24" s="19"/>
      <c r="K24" s="1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9"/>
      <c r="F25" s="19"/>
      <c r="G25" s="1"/>
      <c r="H25" s="113" t="s">
        <v>90</v>
      </c>
      <c r="I25" s="97">
        <v>57684.0</v>
      </c>
      <c r="J25" s="19"/>
      <c r="K25" s="1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9"/>
      <c r="F26" s="19"/>
      <c r="G26" s="1"/>
      <c r="H26" s="114" t="s">
        <v>68</v>
      </c>
      <c r="I26" s="115">
        <f>(I23-I24)-I25</f>
        <v>962316</v>
      </c>
      <c r="J26" s="19"/>
      <c r="K26" s="1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9"/>
      <c r="F27" s="1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9"/>
      <c r="F29" s="1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9"/>
      <c r="F30" s="1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9"/>
      <c r="F31" s="1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9"/>
      <c r="F32" s="1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9"/>
      <c r="F33" s="1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9"/>
      <c r="F35" s="1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9"/>
      <c r="F36" s="1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9"/>
      <c r="F37" s="1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9"/>
      <c r="F38" s="1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9"/>
      <c r="F39" s="1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9"/>
      <c r="F40" s="1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H4:I4"/>
    <mergeCell ref="E5:F5"/>
  </mergeCells>
  <conditionalFormatting sqref="F11">
    <cfRule type="cellIs" dxfId="2" priority="1" operator="greaterThan">
      <formula>1</formula>
    </cfRule>
  </conditionalFormatting>
  <conditionalFormatting sqref="F11">
    <cfRule type="cellIs" dxfId="3" priority="2" operator="lessThan">
      <formula>1</formula>
    </cfRule>
  </conditionalFormatting>
  <hyperlinks>
    <hyperlink r:id="rId1" ref="E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2022-11-17T16:02:52Z</dcterms:created>
</cp:coreProperties>
</file>