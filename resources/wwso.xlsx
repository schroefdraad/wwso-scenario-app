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er" sheetId="1" state="visible" r:id="rId1"/>
    <sheet xmlns:r="http://schemas.openxmlformats.org/officeDocument/2006/relationships" name="Voorzieningen" sheetId="2" state="visible" r:id="rId2"/>
    <sheet xmlns:r="http://schemas.openxmlformats.org/officeDocument/2006/relationships" name="Tabellen" sheetId="3" state="visible" r:id="rId3"/>
    <sheet xmlns:r="http://schemas.openxmlformats.org/officeDocument/2006/relationships" name="Berekening" sheetId="4" state="visible" r:id="rId4"/>
    <sheet xmlns:r="http://schemas.openxmlformats.org/officeDocument/2006/relationships" name="Resultaat" sheetId="5" state="visible" r:id="rId5"/>
    <sheet xmlns:r="http://schemas.openxmlformats.org/officeDocument/2006/relationships" name="Scenario" sheetId="6" state="visible" r:id="rId6"/>
    <sheet xmlns:r="http://schemas.openxmlformats.org/officeDocument/2006/relationships" name="Controles" sheetId="7" state="visible" r:id="rId7"/>
    <sheet xmlns:r="http://schemas.openxmlformats.org/officeDocument/2006/relationships" name="Toelichting" sheetId="8" state="visible" r:id="rId8"/>
  </sheets>
  <definedNames>
    <definedName name="tbl_huur_onz_pt">Tabellen!$A$2:$A$252</definedName>
    <definedName name="tbl_huur_onz_bd">Tabellen!$B$2:$B$252</definedName>
    <definedName name="tbl_energielabel_lbl">Tabellen!$D$2:$D$12</definedName>
    <definedName name="tbl_energielabel_fac">Tabellen!$E$2:$E$12</definedName>
    <definedName name="tbl_bouwjaar_grens">Tabellen!$D$15:$D$21</definedName>
    <definedName name="tbl_bouwjaar_fac">Tabellen!$E$15:$E$21</definedName>
    <definedName name="tbl_corop_regio">Tabellen!$G$2:$G$41</definedName>
    <definedName name="tbl_corop_woz">Tabellen!$H$2:$H$41</definedName>
    <definedName name="tbl_keuken_grens">Tabellen!$J$2:$J$5</definedName>
    <definedName name="tbl_keuken_basis">Tabellen!$K$2:$K$5</definedName>
    <definedName name="tbl_keuken_extra_naam">Tabellen!$J$8:$J$21</definedName>
    <definedName name="tbl_keuken_extra_pt">Tabellen!$K$8:$K$21</definedName>
    <definedName name="tbl_san_basis_naam">Tabellen!$J$24:$J$32</definedName>
    <definedName name="tbl_san_basis_pt">Tabellen!$K$24:$K$32</definedName>
    <definedName name="tbl_san_extra_naam">Tabellen!$J$35:$J$42</definedName>
    <definedName name="tbl_san_extra_pt">Tabellen!$K$35:$K$42</definedName>
    <definedName name="tbl_parkeer_type">Tabellen!$M$2:$M$4</definedName>
    <definedName name="tbl_parkeer_pt">Tabellen!$N$2:$N$4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.00"/>
    <numFmt numFmtId="165" formatCode="€#,##0"/>
    <numFmt numFmtId="166" formatCode="DD-MM-YYYY"/>
    <numFmt numFmtId="167" formatCode="0.0%"/>
  </numFmts>
  <fonts count="1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color rgb="00FFFFFF"/>
      <sz val="13"/>
    </font>
    <font>
      <b val="1"/>
      <color rgb="00FFFFFF"/>
      <sz val="11"/>
    </font>
    <font>
      <b val="1"/>
      <sz val="11"/>
    </font>
    <font>
      <b val="1"/>
      <color rgb="007030A0"/>
    </font>
    <font>
      <b val="1"/>
      <color rgb="00C00000"/>
    </font>
    <font>
      <b val="1"/>
      <sz val="12"/>
    </font>
    <font>
      <b val="1"/>
      <color rgb="00FF0000"/>
    </font>
    <font>
      <i val="1"/>
    </font>
    <font>
      <b val="1"/>
      <color rgb="001F4E79"/>
      <sz val="11"/>
    </font>
    <font>
      <b val="1"/>
      <color rgb="001F4E79"/>
      <sz val="12"/>
    </font>
    <font>
      <b val="1"/>
      <color rgb="001F4E79"/>
    </font>
    <font>
      <i val="1"/>
      <color rgb="00FF0000"/>
    </font>
  </fonts>
  <fills count="10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DCEEFB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5" borderId="0" applyProtection="1" pivotButton="0" quotePrefix="0" xfId="0">
      <protection locked="0" hidden="0"/>
    </xf>
    <xf numFmtId="0" fontId="1" fillId="0" borderId="0" pivotButton="0" quotePrefix="0" xfId="0"/>
    <xf numFmtId="165" fontId="0" fillId="5" borderId="0" applyProtection="1" pivotButton="0" quotePrefix="0" xfId="0">
      <protection locked="0" hidden="0"/>
    </xf>
    <xf numFmtId="166" fontId="0" fillId="5" borderId="0" applyProtection="1" pivotButton="0" quotePrefix="0" xfId="0">
      <protection locked="0" hidden="0"/>
    </xf>
    <xf numFmtId="2" fontId="0" fillId="5" borderId="0" applyProtection="1" pivotButton="0" quotePrefix="0" xfId="0">
      <protection locked="0" hidden="0"/>
    </xf>
    <xf numFmtId="1" fontId="0" fillId="5" borderId="0" applyProtection="1" pivotButton="0" quotePrefix="0" xfId="0">
      <protection locked="0" hidden="0"/>
    </xf>
    <xf numFmtId="0" fontId="4" fillId="4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left" vertical="center"/>
    </xf>
    <xf numFmtId="2" fontId="0" fillId="6" borderId="0" pivotButton="0" quotePrefix="0" xfId="0"/>
    <xf numFmtId="0" fontId="6" fillId="0" borderId="0" pivotButton="0" quotePrefix="0" xfId="0"/>
    <xf numFmtId="2" fontId="1" fillId="6" borderId="0" pivotButton="0" quotePrefix="0" xfId="0"/>
    <xf numFmtId="0" fontId="0" fillId="6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5" fillId="8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/>
    </xf>
    <xf numFmtId="0" fontId="7" fillId="6" borderId="0" pivotButton="0" quotePrefix="0" xfId="0"/>
    <xf numFmtId="0" fontId="9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1" fontId="5" fillId="8" borderId="0" pivotButton="0" quotePrefix="0" xfId="0"/>
    <xf numFmtId="164" fontId="11" fillId="6" borderId="0" pivotButton="0" quotePrefix="0" xfId="0"/>
    <xf numFmtId="0" fontId="12" fillId="0" borderId="0" pivotButton="0" quotePrefix="0" xfId="0"/>
    <xf numFmtId="164" fontId="12" fillId="6" borderId="0" pivotButton="0" quotePrefix="0" xfId="0"/>
    <xf numFmtId="0" fontId="4" fillId="4" borderId="0" applyAlignment="1" pivotButton="0" quotePrefix="0" xfId="0">
      <alignment horizontal="center" wrapText="1"/>
    </xf>
    <xf numFmtId="1" fontId="0" fillId="6" borderId="0" pivotButton="0" quotePrefix="0" xfId="0"/>
    <xf numFmtId="164" fontId="0" fillId="6" borderId="0" pivotButton="0" quotePrefix="0" xfId="0"/>
    <xf numFmtId="9" fontId="0" fillId="6" borderId="0" pivotButton="0" quotePrefix="0" xfId="0"/>
    <xf numFmtId="164" fontId="13" fillId="6" borderId="0" pivotButton="0" quotePrefix="0" xfId="0"/>
    <xf numFmtId="1" fontId="1" fillId="6" borderId="0" pivotButton="0" quotePrefix="0" xfId="0"/>
    <xf numFmtId="164" fontId="1" fillId="6" borderId="0" pivotButton="0" quotePrefix="0" xfId="0"/>
    <xf numFmtId="0" fontId="14" fillId="0" borderId="0" pivotButton="0" quotePrefix="0" xfId="0"/>
    <xf numFmtId="167" fontId="0" fillId="6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wrapText="1"/>
    </xf>
    <xf numFmtId="0" fontId="8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T57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</cols>
  <sheetData>
    <row r="1" ht="28" customHeight="1">
      <c r="A1" s="1" t="inlineStr">
        <is>
          <t>WWSO PUNTENTELLING — INVOER PANDGEGEVENS (per 1 januari 2026)</t>
        </is>
      </c>
    </row>
    <row r="2">
      <c r="A2" s="2" t="inlineStr">
        <is>
          <t>Pandgegevens</t>
        </is>
      </c>
    </row>
    <row r="3" ht="18" customHeight="1"/>
    <row r="4" ht="18" customHeight="1">
      <c r="A4" s="3" t="inlineStr">
        <is>
          <t>Adres</t>
        </is>
      </c>
      <c r="B4" s="4" t="n"/>
    </row>
    <row r="5" ht="18" customHeight="1">
      <c r="A5" s="3" t="inlineStr">
        <is>
          <t>Stad</t>
        </is>
      </c>
      <c r="B5" s="4" t="n"/>
      <c r="C5" s="5" t="inlineStr">
        <is>
          <t>Stad</t>
        </is>
      </c>
      <c r="D5" s="4" t="n"/>
    </row>
    <row r="6" ht="18" customHeight="1">
      <c r="A6" s="3" t="inlineStr">
        <is>
          <t>WOZ-waarde (€)</t>
        </is>
      </c>
      <c r="B6" s="6" t="n"/>
    </row>
    <row r="7" ht="18" customHeight="1">
      <c r="A7" s="3" t="inlineStr">
        <is>
          <t>WOZ-peildatum</t>
        </is>
      </c>
      <c r="B7" s="7" t="n"/>
    </row>
    <row r="8" ht="18" customHeight="1">
      <c r="A8" s="3" t="inlineStr">
        <is>
          <t>WOZ-oppervlak (m²)</t>
        </is>
      </c>
      <c r="B8" s="8" t="n"/>
    </row>
    <row r="9" ht="18" customHeight="1">
      <c r="A9" s="3" t="inlineStr">
        <is>
          <t>COROP-gebied</t>
        </is>
      </c>
      <c r="B9" s="4" t="n"/>
    </row>
    <row r="10" ht="18" customHeight="1">
      <c r="A10" s="3" t="inlineStr">
        <is>
          <t>Energielabel</t>
        </is>
      </c>
      <c r="B10" s="4" t="n"/>
    </row>
    <row r="11" ht="18" customHeight="1">
      <c r="A11" s="3" t="inlineStr">
        <is>
          <t>Energielabel ingangsdatum</t>
        </is>
      </c>
      <c r="B11" s="7" t="n"/>
    </row>
    <row r="12" ht="18" customHeight="1">
      <c r="A12" s="3" t="inlineStr">
        <is>
          <t>Bouwjaar</t>
        </is>
      </c>
      <c r="B12" s="9" t="n"/>
    </row>
    <row r="13" ht="18" customHeight="1">
      <c r="A13" s="3" t="inlineStr">
        <is>
          <t>Soort woning</t>
        </is>
      </c>
      <c r="B13" s="4" t="n"/>
    </row>
    <row r="14" ht="18" customHeight="1">
      <c r="A14" s="3" t="inlineStr">
        <is>
          <t>Aantal kamers (1-12)</t>
        </is>
      </c>
      <c r="B14" s="9" t="n"/>
    </row>
    <row r="15" ht="18" customHeight="1">
      <c r="A15" s="3" t="inlineStr">
        <is>
          <t>Aantal woningen in complex</t>
        </is>
      </c>
      <c r="B15" s="9" t="n"/>
    </row>
    <row r="16" ht="18" customHeight="1">
      <c r="A16" s="3" t="inlineStr">
        <is>
          <t>Monument</t>
        </is>
      </c>
      <c r="B16" s="4" t="n"/>
    </row>
    <row r="17" ht="30" customHeight="1">
      <c r="A17" s="10" t="inlineStr">
        <is>
          <t>Nr</t>
        </is>
      </c>
      <c r="B17" s="10" t="inlineStr">
        <is>
          <t>Naam ruimte</t>
        </is>
      </c>
      <c r="C17" s="10" t="inlineStr">
        <is>
          <t>Type</t>
        </is>
      </c>
      <c r="D17" s="10" t="inlineStr">
        <is>
          <t>Opp. m²</t>
        </is>
      </c>
      <c r="E17" s="10" t="inlineStr">
        <is>
          <t>Verdieping</t>
        </is>
      </c>
      <c r="F17" s="10" t="inlineStr">
        <is>
          <t>Verwarmd</t>
        </is>
      </c>
      <c r="G17" s="10" t="inlineStr">
        <is>
          <t>Verkoeld</t>
        </is>
      </c>
      <c r="H17" s="10" t="inlineStr">
        <is>
          <t>K1</t>
        </is>
      </c>
      <c r="I17" s="10" t="inlineStr">
        <is>
          <t>K2</t>
        </is>
      </c>
      <c r="J17" s="10" t="inlineStr">
        <is>
          <t>K3</t>
        </is>
      </c>
      <c r="K17" s="10" t="inlineStr">
        <is>
          <t>K4</t>
        </is>
      </c>
      <c r="L17" s="10" t="inlineStr">
        <is>
          <t>K5</t>
        </is>
      </c>
      <c r="M17" s="10" t="inlineStr">
        <is>
          <t>K6</t>
        </is>
      </c>
      <c r="N17" s="10" t="inlineStr">
        <is>
          <t>K7</t>
        </is>
      </c>
      <c r="O17" s="10" t="inlineStr">
        <is>
          <t>K8</t>
        </is>
      </c>
      <c r="P17" s="10" t="inlineStr">
        <is>
          <t>K9</t>
        </is>
      </c>
      <c r="Q17" s="10" t="inlineStr">
        <is>
          <t>K10</t>
        </is>
      </c>
      <c r="R17" s="10" t="inlineStr">
        <is>
          <t>K11</t>
        </is>
      </c>
      <c r="S17" s="10" t="inlineStr">
        <is>
          <t>K12</t>
        </is>
      </c>
      <c r="T17" s="10" t="inlineStr">
        <is>
          <t>n_kamers</t>
        </is>
      </c>
    </row>
    <row r="18">
      <c r="A18" s="11">
        <f>ROW()-17</f>
        <v/>
      </c>
      <c r="B18" s="4" t="n"/>
      <c r="C18" s="4" t="n"/>
      <c r="D18" s="8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11">
        <f>COUNTIF(H18:S18,"J")</f>
        <v/>
      </c>
    </row>
    <row r="19">
      <c r="A19" s="11">
        <f>ROW()-17</f>
        <v/>
      </c>
      <c r="B19" s="4" t="n"/>
      <c r="C19" s="4" t="n"/>
      <c r="D19" s="8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11">
        <f>COUNTIF(H19:S19,"J")</f>
        <v/>
      </c>
    </row>
    <row r="20">
      <c r="A20" s="11">
        <f>ROW()-17</f>
        <v/>
      </c>
      <c r="B20" s="4" t="n"/>
      <c r="C20" s="4" t="n"/>
      <c r="D20" s="8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11">
        <f>COUNTIF(H20:S20,"J")</f>
        <v/>
      </c>
    </row>
    <row r="21">
      <c r="A21" s="11">
        <f>ROW()-17</f>
        <v/>
      </c>
      <c r="B21" s="4" t="n"/>
      <c r="C21" s="4" t="n"/>
      <c r="D21" s="8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11">
        <f>COUNTIF(H21:S21,"J")</f>
        <v/>
      </c>
    </row>
    <row r="22">
      <c r="A22" s="11">
        <f>ROW()-17</f>
        <v/>
      </c>
      <c r="B22" s="4" t="n"/>
      <c r="C22" s="4" t="n"/>
      <c r="D22" s="8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11">
        <f>COUNTIF(H22:S22,"J")</f>
        <v/>
      </c>
    </row>
    <row r="23">
      <c r="A23" s="11">
        <f>ROW()-17</f>
        <v/>
      </c>
      <c r="B23" s="4" t="n"/>
      <c r="C23" s="4" t="n"/>
      <c r="D23" s="8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11">
        <f>COUNTIF(H23:S23,"J")</f>
        <v/>
      </c>
    </row>
    <row r="24">
      <c r="A24" s="11">
        <f>ROW()-17</f>
        <v/>
      </c>
      <c r="B24" s="4" t="n"/>
      <c r="C24" s="4" t="n"/>
      <c r="D24" s="8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11">
        <f>COUNTIF(H24:S24,"J")</f>
        <v/>
      </c>
    </row>
    <row r="25">
      <c r="A25" s="11">
        <f>ROW()-17</f>
        <v/>
      </c>
      <c r="B25" s="4" t="n"/>
      <c r="C25" s="4" t="n"/>
      <c r="D25" s="8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11">
        <f>COUNTIF(H25:S25,"J")</f>
        <v/>
      </c>
    </row>
    <row r="26">
      <c r="A26" s="11">
        <f>ROW()-17</f>
        <v/>
      </c>
      <c r="B26" s="4" t="n"/>
      <c r="C26" s="4" t="n"/>
      <c r="D26" s="8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11">
        <f>COUNTIF(H26:S26,"J")</f>
        <v/>
      </c>
    </row>
    <row r="27">
      <c r="A27" s="11">
        <f>ROW()-17</f>
        <v/>
      </c>
      <c r="B27" s="4" t="n"/>
      <c r="C27" s="4" t="n"/>
      <c r="D27" s="8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11">
        <f>COUNTIF(H27:S27,"J")</f>
        <v/>
      </c>
    </row>
    <row r="28">
      <c r="A28" s="11">
        <f>ROW()-17</f>
        <v/>
      </c>
      <c r="B28" s="4" t="n"/>
      <c r="C28" s="4" t="n"/>
      <c r="D28" s="8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11">
        <f>COUNTIF(H28:S28,"J")</f>
        <v/>
      </c>
    </row>
    <row r="29">
      <c r="A29" s="11">
        <f>ROW()-17</f>
        <v/>
      </c>
      <c r="B29" s="4" t="n"/>
      <c r="C29" s="4" t="n"/>
      <c r="D29" s="8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11">
        <f>COUNTIF(H29:S29,"J")</f>
        <v/>
      </c>
    </row>
    <row r="30">
      <c r="A30" s="11">
        <f>ROW()-17</f>
        <v/>
      </c>
      <c r="B30" s="4" t="n"/>
      <c r="C30" s="4" t="n"/>
      <c r="D30" s="8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11">
        <f>COUNTIF(H30:S30,"J")</f>
        <v/>
      </c>
    </row>
    <row r="31">
      <c r="A31" s="11">
        <f>ROW()-17</f>
        <v/>
      </c>
      <c r="B31" s="4" t="n"/>
      <c r="C31" s="4" t="n"/>
      <c r="D31" s="8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11">
        <f>COUNTIF(H31:S31,"J")</f>
        <v/>
      </c>
    </row>
    <row r="32">
      <c r="A32" s="11">
        <f>ROW()-17</f>
        <v/>
      </c>
      <c r="B32" s="4" t="n"/>
      <c r="C32" s="4" t="n"/>
      <c r="D32" s="8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11">
        <f>COUNTIF(H32:S32,"J")</f>
        <v/>
      </c>
    </row>
    <row r="33">
      <c r="A33" s="11">
        <f>ROW()-17</f>
        <v/>
      </c>
      <c r="B33" s="4" t="n"/>
      <c r="C33" s="4" t="n"/>
      <c r="D33" s="8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11">
        <f>COUNTIF(H33:S33,"J")</f>
        <v/>
      </c>
    </row>
    <row r="34">
      <c r="A34" s="11">
        <f>ROW()-17</f>
        <v/>
      </c>
      <c r="B34" s="4" t="n"/>
      <c r="C34" s="4" t="n"/>
      <c r="D34" s="8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11">
        <f>COUNTIF(H34:S34,"J")</f>
        <v/>
      </c>
    </row>
    <row r="35">
      <c r="A35" s="11">
        <f>ROW()-17</f>
        <v/>
      </c>
      <c r="B35" s="4" t="n"/>
      <c r="C35" s="4" t="n"/>
      <c r="D35" s="8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11">
        <f>COUNTIF(H35:S35,"J")</f>
        <v/>
      </c>
    </row>
    <row r="36">
      <c r="A36" s="11">
        <f>ROW()-17</f>
        <v/>
      </c>
      <c r="B36" s="4" t="n"/>
      <c r="C36" s="4" t="n"/>
      <c r="D36" s="8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11">
        <f>COUNTIF(H36:S36,"J")</f>
        <v/>
      </c>
    </row>
    <row r="37">
      <c r="A37" s="11">
        <f>ROW()-17</f>
        <v/>
      </c>
      <c r="B37" s="4" t="n"/>
      <c r="C37" s="4" t="n"/>
      <c r="D37" s="8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11">
        <f>COUNTIF(H37:S37,"J")</f>
        <v/>
      </c>
    </row>
    <row r="38">
      <c r="A38" s="11">
        <f>ROW()-17</f>
        <v/>
      </c>
      <c r="B38" s="4" t="n"/>
      <c r="C38" s="4" t="n"/>
      <c r="D38" s="8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11">
        <f>COUNTIF(H38:S38,"J")</f>
        <v/>
      </c>
    </row>
    <row r="39">
      <c r="A39" s="11">
        <f>ROW()-17</f>
        <v/>
      </c>
      <c r="B39" s="4" t="n"/>
      <c r="C39" s="4" t="n"/>
      <c r="D39" s="8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11">
        <f>COUNTIF(H39:S39,"J")</f>
        <v/>
      </c>
    </row>
    <row r="40">
      <c r="A40" s="11">
        <f>ROW()-17</f>
        <v/>
      </c>
      <c r="B40" s="4" t="n"/>
      <c r="C40" s="4" t="n"/>
      <c r="D40" s="8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11">
        <f>COUNTIF(H40:S40,"J")</f>
        <v/>
      </c>
    </row>
    <row r="41">
      <c r="A41" s="11">
        <f>ROW()-17</f>
        <v/>
      </c>
      <c r="B41" s="4" t="n"/>
      <c r="C41" s="4" t="n"/>
      <c r="D41" s="8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11">
        <f>COUNTIF(H41:S41,"J")</f>
        <v/>
      </c>
    </row>
    <row r="42">
      <c r="A42" s="11">
        <f>ROW()-17</f>
        <v/>
      </c>
      <c r="B42" s="4" t="n"/>
      <c r="C42" s="4" t="n"/>
      <c r="D42" s="8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11">
        <f>COUNTIF(H42:S42,"J")</f>
        <v/>
      </c>
    </row>
    <row r="43">
      <c r="A43" s="11">
        <f>ROW()-17</f>
        <v/>
      </c>
      <c r="B43" s="4" t="n"/>
      <c r="C43" s="4" t="n"/>
      <c r="D43" s="8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11">
        <f>COUNTIF(H43:S43,"J")</f>
        <v/>
      </c>
    </row>
    <row r="44">
      <c r="A44" s="11">
        <f>ROW()-17</f>
        <v/>
      </c>
      <c r="B44" s="4" t="n"/>
      <c r="C44" s="4" t="n"/>
      <c r="D44" s="8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11">
        <f>COUNTIF(H44:S44,"J")</f>
        <v/>
      </c>
    </row>
    <row r="45">
      <c r="A45" s="11">
        <f>ROW()-17</f>
        <v/>
      </c>
      <c r="B45" s="4" t="n"/>
      <c r="C45" s="4" t="n"/>
      <c r="D45" s="8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11">
        <f>COUNTIF(H45:S45,"J")</f>
        <v/>
      </c>
    </row>
    <row r="46">
      <c r="A46" s="11">
        <f>ROW()-17</f>
        <v/>
      </c>
      <c r="B46" s="4" t="n"/>
      <c r="C46" s="4" t="n"/>
      <c r="D46" s="8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11">
        <f>COUNTIF(H46:S46,"J")</f>
        <v/>
      </c>
    </row>
    <row r="47">
      <c r="A47" s="11">
        <f>ROW()-17</f>
        <v/>
      </c>
      <c r="B47" s="4" t="n"/>
      <c r="C47" s="4" t="n"/>
      <c r="D47" s="8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11">
        <f>COUNTIF(H47:S47,"J")</f>
        <v/>
      </c>
    </row>
    <row r="48">
      <c r="A48" s="11">
        <f>ROW()-17</f>
        <v/>
      </c>
      <c r="B48" s="4" t="n"/>
      <c r="C48" s="4" t="n"/>
      <c r="D48" s="8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11">
        <f>COUNTIF(H48:S48,"J")</f>
        <v/>
      </c>
    </row>
    <row r="49">
      <c r="A49" s="11">
        <f>ROW()-17</f>
        <v/>
      </c>
      <c r="B49" s="4" t="n"/>
      <c r="C49" s="4" t="n"/>
      <c r="D49" s="8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11">
        <f>COUNTIF(H49:S49,"J")</f>
        <v/>
      </c>
    </row>
    <row r="50">
      <c r="A50" s="11">
        <f>ROW()-17</f>
        <v/>
      </c>
      <c r="B50" s="4" t="n"/>
      <c r="C50" s="4" t="n"/>
      <c r="D50" s="8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11">
        <f>COUNTIF(H50:S50,"J")</f>
        <v/>
      </c>
    </row>
    <row r="51">
      <c r="A51" s="11">
        <f>ROW()-17</f>
        <v/>
      </c>
      <c r="B51" s="4" t="n"/>
      <c r="C51" s="4" t="n"/>
      <c r="D51" s="8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11">
        <f>COUNTIF(H51:S51,"J")</f>
        <v/>
      </c>
    </row>
    <row r="52">
      <c r="A52" s="11">
        <f>ROW()-17</f>
        <v/>
      </c>
      <c r="B52" s="4" t="n"/>
      <c r="C52" s="4" t="n"/>
      <c r="D52" s="8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11">
        <f>COUNTIF(H52:S52,"J")</f>
        <v/>
      </c>
    </row>
    <row r="53">
      <c r="A53" s="11">
        <f>ROW()-17</f>
        <v/>
      </c>
      <c r="B53" s="4" t="n"/>
      <c r="C53" s="4" t="n"/>
      <c r="D53" s="8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11">
        <f>COUNTIF(H53:S53,"J")</f>
        <v/>
      </c>
    </row>
    <row r="54">
      <c r="A54" s="11">
        <f>ROW()-17</f>
        <v/>
      </c>
      <c r="B54" s="4" t="n"/>
      <c r="C54" s="4" t="n"/>
      <c r="D54" s="8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11">
        <f>COUNTIF(H54:S54,"J")</f>
        <v/>
      </c>
    </row>
    <row r="55">
      <c r="A55" s="11">
        <f>ROW()-17</f>
        <v/>
      </c>
      <c r="B55" s="4" t="n"/>
      <c r="C55" s="4" t="n"/>
      <c r="D55" s="8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11">
        <f>COUNTIF(H55:S55,"J")</f>
        <v/>
      </c>
    </row>
    <row r="56">
      <c r="A56" s="11">
        <f>ROW()-17</f>
        <v/>
      </c>
      <c r="B56" s="4" t="n"/>
      <c r="C56" s="4" t="n"/>
      <c r="D56" s="8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11">
        <f>COUNTIF(H56:S56,"J")</f>
        <v/>
      </c>
    </row>
    <row r="57">
      <c r="A57" s="11">
        <f>ROW()-17</f>
        <v/>
      </c>
      <c r="B57" s="4" t="n"/>
      <c r="C57" s="4" t="n"/>
      <c r="D57" s="8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11">
        <f>COUNTIF(H57:S57,"J")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2">
    <mergeCell ref="A1:T1"/>
    <mergeCell ref="A2:T2"/>
  </mergeCells>
  <dataValidations count="605">
    <dataValidation sqref="B9" showDropDown="0" showInputMessage="0" showErrorMessage="0" allowBlank="1" type="list">
      <formula1>Tabellen!$P$2:$P$41</formula1>
    </dataValidation>
    <dataValidation sqref="B9" showDropDown="0" showInputMessage="0" showErrorMessage="0" allowBlank="1" type="list">
      <formula1>Tabellen!$P$2:$P$41</formula1>
    </dataValidation>
    <dataValidation sqref="B10" showDropDown="0" showInputMessage="0" showErrorMessage="0" allowBlank="1" type="list">
      <formula1>"A++++,A+++,A++,A+,A,B,C,D,E,F,G,Bouwjaar"</formula1>
    </dataValidation>
    <dataValidation sqref="B13" showDropDown="0" showInputMessage="0" showErrorMessage="0" allowBlank="1" type="list">
      <formula1>"Meergezins,Eengezins"</formula1>
    </dataValidation>
    <dataValidation sqref="B16" showDropDown="0" showInputMessage="0" showErrorMessage="0" allowBlank="1" type="list">
      <formula1>"Geen,Rijks,Gemeente,Provinciaal,Beschermd dorpsgezicht"</formula1>
    </dataValidation>
    <dataValidation sqref="C18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18" showDropDown="0" showInputMessage="0" showErrorMessage="0" allowBlank="1" type="list">
      <formula1>"J,N"</formula1>
    </dataValidation>
    <dataValidation sqref="G18" showDropDown="0" showInputMessage="0" showErrorMessage="0" allowBlank="1" type="list">
      <formula1>"J,N"</formula1>
    </dataValidation>
    <dataValidation sqref="H18" showDropDown="0" showInputMessage="0" showErrorMessage="0" allowBlank="1" type="list">
      <formula1>"J,N"</formula1>
    </dataValidation>
    <dataValidation sqref="I18" showDropDown="0" showInputMessage="0" showErrorMessage="0" allowBlank="1" type="list">
      <formula1>"J,N"</formula1>
    </dataValidation>
    <dataValidation sqref="J18" showDropDown="0" showInputMessage="0" showErrorMessage="0" allowBlank="1" type="list">
      <formula1>"J,N"</formula1>
    </dataValidation>
    <dataValidation sqref="K18" showDropDown="0" showInputMessage="0" showErrorMessage="0" allowBlank="1" type="list">
      <formula1>"J,N"</formula1>
    </dataValidation>
    <dataValidation sqref="L18" showDropDown="0" showInputMessage="0" showErrorMessage="0" allowBlank="1" type="list">
      <formula1>"J,N"</formula1>
    </dataValidation>
    <dataValidation sqref="M18" showDropDown="0" showInputMessage="0" showErrorMessage="0" allowBlank="1" type="list">
      <formula1>"J,N"</formula1>
    </dataValidation>
    <dataValidation sqref="N18" showDropDown="0" showInputMessage="0" showErrorMessage="0" allowBlank="1" type="list">
      <formula1>"J,N"</formula1>
    </dataValidation>
    <dataValidation sqref="O18" showDropDown="0" showInputMessage="0" showErrorMessage="0" allowBlank="1" type="list">
      <formula1>"J,N"</formula1>
    </dataValidation>
    <dataValidation sqref="P18" showDropDown="0" showInputMessage="0" showErrorMessage="0" allowBlank="1" type="list">
      <formula1>"J,N"</formula1>
    </dataValidation>
    <dataValidation sqref="Q18" showDropDown="0" showInputMessage="0" showErrorMessage="0" allowBlank="1" type="list">
      <formula1>"J,N"</formula1>
    </dataValidation>
    <dataValidation sqref="R18" showDropDown="0" showInputMessage="0" showErrorMessage="0" allowBlank="1" type="list">
      <formula1>"J,N"</formula1>
    </dataValidation>
    <dataValidation sqref="S18" showDropDown="0" showInputMessage="0" showErrorMessage="0" allowBlank="1" type="list">
      <formula1>"J,N"</formula1>
    </dataValidation>
    <dataValidation sqref="C19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19" showDropDown="0" showInputMessage="0" showErrorMessage="0" allowBlank="1" type="list">
      <formula1>"J,N"</formula1>
    </dataValidation>
    <dataValidation sqref="G19" showDropDown="0" showInputMessage="0" showErrorMessage="0" allowBlank="1" type="list">
      <formula1>"J,N"</formula1>
    </dataValidation>
    <dataValidation sqref="H19" showDropDown="0" showInputMessage="0" showErrorMessage="0" allowBlank="1" type="list">
      <formula1>"J,N"</formula1>
    </dataValidation>
    <dataValidation sqref="I19" showDropDown="0" showInputMessage="0" showErrorMessage="0" allowBlank="1" type="list">
      <formula1>"J,N"</formula1>
    </dataValidation>
    <dataValidation sqref="J19" showDropDown="0" showInputMessage="0" showErrorMessage="0" allowBlank="1" type="list">
      <formula1>"J,N"</formula1>
    </dataValidation>
    <dataValidation sqref="K19" showDropDown="0" showInputMessage="0" showErrorMessage="0" allowBlank="1" type="list">
      <formula1>"J,N"</formula1>
    </dataValidation>
    <dataValidation sqref="L19" showDropDown="0" showInputMessage="0" showErrorMessage="0" allowBlank="1" type="list">
      <formula1>"J,N"</formula1>
    </dataValidation>
    <dataValidation sqref="M19" showDropDown="0" showInputMessage="0" showErrorMessage="0" allowBlank="1" type="list">
      <formula1>"J,N"</formula1>
    </dataValidation>
    <dataValidation sqref="N19" showDropDown="0" showInputMessage="0" showErrorMessage="0" allowBlank="1" type="list">
      <formula1>"J,N"</formula1>
    </dataValidation>
    <dataValidation sqref="O19" showDropDown="0" showInputMessage="0" showErrorMessage="0" allowBlank="1" type="list">
      <formula1>"J,N"</formula1>
    </dataValidation>
    <dataValidation sqref="P19" showDropDown="0" showInputMessage="0" showErrorMessage="0" allowBlank="1" type="list">
      <formula1>"J,N"</formula1>
    </dataValidation>
    <dataValidation sqref="Q19" showDropDown="0" showInputMessage="0" showErrorMessage="0" allowBlank="1" type="list">
      <formula1>"J,N"</formula1>
    </dataValidation>
    <dataValidation sqref="R19" showDropDown="0" showInputMessage="0" showErrorMessage="0" allowBlank="1" type="list">
      <formula1>"J,N"</formula1>
    </dataValidation>
    <dataValidation sqref="S19" showDropDown="0" showInputMessage="0" showErrorMessage="0" allowBlank="1" type="list">
      <formula1>"J,N"</formula1>
    </dataValidation>
    <dataValidation sqref="C20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0" showDropDown="0" showInputMessage="0" showErrorMessage="0" allowBlank="1" type="list">
      <formula1>"J,N"</formula1>
    </dataValidation>
    <dataValidation sqref="G20" showDropDown="0" showInputMessage="0" showErrorMessage="0" allowBlank="1" type="list">
      <formula1>"J,N"</formula1>
    </dataValidation>
    <dataValidation sqref="H20" showDropDown="0" showInputMessage="0" showErrorMessage="0" allowBlank="1" type="list">
      <formula1>"J,N"</formula1>
    </dataValidation>
    <dataValidation sqref="I20" showDropDown="0" showInputMessage="0" showErrorMessage="0" allowBlank="1" type="list">
      <formula1>"J,N"</formula1>
    </dataValidation>
    <dataValidation sqref="J20" showDropDown="0" showInputMessage="0" showErrorMessage="0" allowBlank="1" type="list">
      <formula1>"J,N"</formula1>
    </dataValidation>
    <dataValidation sqref="K20" showDropDown="0" showInputMessage="0" showErrorMessage="0" allowBlank="1" type="list">
      <formula1>"J,N"</formula1>
    </dataValidation>
    <dataValidation sqref="L20" showDropDown="0" showInputMessage="0" showErrorMessage="0" allowBlank="1" type="list">
      <formula1>"J,N"</formula1>
    </dataValidation>
    <dataValidation sqref="M20" showDropDown="0" showInputMessage="0" showErrorMessage="0" allowBlank="1" type="list">
      <formula1>"J,N"</formula1>
    </dataValidation>
    <dataValidation sqref="N20" showDropDown="0" showInputMessage="0" showErrorMessage="0" allowBlank="1" type="list">
      <formula1>"J,N"</formula1>
    </dataValidation>
    <dataValidation sqref="O20" showDropDown="0" showInputMessage="0" showErrorMessage="0" allowBlank="1" type="list">
      <formula1>"J,N"</formula1>
    </dataValidation>
    <dataValidation sqref="P20" showDropDown="0" showInputMessage="0" showErrorMessage="0" allowBlank="1" type="list">
      <formula1>"J,N"</formula1>
    </dataValidation>
    <dataValidation sqref="Q20" showDropDown="0" showInputMessage="0" showErrorMessage="0" allowBlank="1" type="list">
      <formula1>"J,N"</formula1>
    </dataValidation>
    <dataValidation sqref="R20" showDropDown="0" showInputMessage="0" showErrorMessage="0" allowBlank="1" type="list">
      <formula1>"J,N"</formula1>
    </dataValidation>
    <dataValidation sqref="S20" showDropDown="0" showInputMessage="0" showErrorMessage="0" allowBlank="1" type="list">
      <formula1>"J,N"</formula1>
    </dataValidation>
    <dataValidation sqref="C21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1" showDropDown="0" showInputMessage="0" showErrorMessage="0" allowBlank="1" type="list">
      <formula1>"J,N"</formula1>
    </dataValidation>
    <dataValidation sqref="G21" showDropDown="0" showInputMessage="0" showErrorMessage="0" allowBlank="1" type="list">
      <formula1>"J,N"</formula1>
    </dataValidation>
    <dataValidation sqref="H21" showDropDown="0" showInputMessage="0" showErrorMessage="0" allowBlank="1" type="list">
      <formula1>"J,N"</formula1>
    </dataValidation>
    <dataValidation sqref="I21" showDropDown="0" showInputMessage="0" showErrorMessage="0" allowBlank="1" type="list">
      <formula1>"J,N"</formula1>
    </dataValidation>
    <dataValidation sqref="J21" showDropDown="0" showInputMessage="0" showErrorMessage="0" allowBlank="1" type="list">
      <formula1>"J,N"</formula1>
    </dataValidation>
    <dataValidation sqref="K21" showDropDown="0" showInputMessage="0" showErrorMessage="0" allowBlank="1" type="list">
      <formula1>"J,N"</formula1>
    </dataValidation>
    <dataValidation sqref="L21" showDropDown="0" showInputMessage="0" showErrorMessage="0" allowBlank="1" type="list">
      <formula1>"J,N"</formula1>
    </dataValidation>
    <dataValidation sqref="M21" showDropDown="0" showInputMessage="0" showErrorMessage="0" allowBlank="1" type="list">
      <formula1>"J,N"</formula1>
    </dataValidation>
    <dataValidation sqref="N21" showDropDown="0" showInputMessage="0" showErrorMessage="0" allowBlank="1" type="list">
      <formula1>"J,N"</formula1>
    </dataValidation>
    <dataValidation sqref="O21" showDropDown="0" showInputMessage="0" showErrorMessage="0" allowBlank="1" type="list">
      <formula1>"J,N"</formula1>
    </dataValidation>
    <dataValidation sqref="P21" showDropDown="0" showInputMessage="0" showErrorMessage="0" allowBlank="1" type="list">
      <formula1>"J,N"</formula1>
    </dataValidation>
    <dataValidation sqref="Q21" showDropDown="0" showInputMessage="0" showErrorMessage="0" allowBlank="1" type="list">
      <formula1>"J,N"</formula1>
    </dataValidation>
    <dataValidation sqref="R21" showDropDown="0" showInputMessage="0" showErrorMessage="0" allowBlank="1" type="list">
      <formula1>"J,N"</formula1>
    </dataValidation>
    <dataValidation sqref="S21" showDropDown="0" showInputMessage="0" showErrorMessage="0" allowBlank="1" type="list">
      <formula1>"J,N"</formula1>
    </dataValidation>
    <dataValidation sqref="C22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2" showDropDown="0" showInputMessage="0" showErrorMessage="0" allowBlank="1" type="list">
      <formula1>"J,N"</formula1>
    </dataValidation>
    <dataValidation sqref="G22" showDropDown="0" showInputMessage="0" showErrorMessage="0" allowBlank="1" type="list">
      <formula1>"J,N"</formula1>
    </dataValidation>
    <dataValidation sqref="H22" showDropDown="0" showInputMessage="0" showErrorMessage="0" allowBlank="1" type="list">
      <formula1>"J,N"</formula1>
    </dataValidation>
    <dataValidation sqref="I22" showDropDown="0" showInputMessage="0" showErrorMessage="0" allowBlank="1" type="list">
      <formula1>"J,N"</formula1>
    </dataValidation>
    <dataValidation sqref="J22" showDropDown="0" showInputMessage="0" showErrorMessage="0" allowBlank="1" type="list">
      <formula1>"J,N"</formula1>
    </dataValidation>
    <dataValidation sqref="K22" showDropDown="0" showInputMessage="0" showErrorMessage="0" allowBlank="1" type="list">
      <formula1>"J,N"</formula1>
    </dataValidation>
    <dataValidation sqref="L22" showDropDown="0" showInputMessage="0" showErrorMessage="0" allowBlank="1" type="list">
      <formula1>"J,N"</formula1>
    </dataValidation>
    <dataValidation sqref="M22" showDropDown="0" showInputMessage="0" showErrorMessage="0" allowBlank="1" type="list">
      <formula1>"J,N"</formula1>
    </dataValidation>
    <dataValidation sqref="N22" showDropDown="0" showInputMessage="0" showErrorMessage="0" allowBlank="1" type="list">
      <formula1>"J,N"</formula1>
    </dataValidation>
    <dataValidation sqref="O22" showDropDown="0" showInputMessage="0" showErrorMessage="0" allowBlank="1" type="list">
      <formula1>"J,N"</formula1>
    </dataValidation>
    <dataValidation sqref="P22" showDropDown="0" showInputMessage="0" showErrorMessage="0" allowBlank="1" type="list">
      <formula1>"J,N"</formula1>
    </dataValidation>
    <dataValidation sqref="Q22" showDropDown="0" showInputMessage="0" showErrorMessage="0" allowBlank="1" type="list">
      <formula1>"J,N"</formula1>
    </dataValidation>
    <dataValidation sqref="R22" showDropDown="0" showInputMessage="0" showErrorMessage="0" allowBlank="1" type="list">
      <formula1>"J,N"</formula1>
    </dataValidation>
    <dataValidation sqref="S22" showDropDown="0" showInputMessage="0" showErrorMessage="0" allowBlank="1" type="list">
      <formula1>"J,N"</formula1>
    </dataValidation>
    <dataValidation sqref="C23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3" showDropDown="0" showInputMessage="0" showErrorMessage="0" allowBlank="1" type="list">
      <formula1>"J,N"</formula1>
    </dataValidation>
    <dataValidation sqref="G23" showDropDown="0" showInputMessage="0" showErrorMessage="0" allowBlank="1" type="list">
      <formula1>"J,N"</formula1>
    </dataValidation>
    <dataValidation sqref="H23" showDropDown="0" showInputMessage="0" showErrorMessage="0" allowBlank="1" type="list">
      <formula1>"J,N"</formula1>
    </dataValidation>
    <dataValidation sqref="I23" showDropDown="0" showInputMessage="0" showErrorMessage="0" allowBlank="1" type="list">
      <formula1>"J,N"</formula1>
    </dataValidation>
    <dataValidation sqref="J23" showDropDown="0" showInputMessage="0" showErrorMessage="0" allowBlank="1" type="list">
      <formula1>"J,N"</formula1>
    </dataValidation>
    <dataValidation sqref="K23" showDropDown="0" showInputMessage="0" showErrorMessage="0" allowBlank="1" type="list">
      <formula1>"J,N"</formula1>
    </dataValidation>
    <dataValidation sqref="L23" showDropDown="0" showInputMessage="0" showErrorMessage="0" allowBlank="1" type="list">
      <formula1>"J,N"</formula1>
    </dataValidation>
    <dataValidation sqref="M23" showDropDown="0" showInputMessage="0" showErrorMessage="0" allowBlank="1" type="list">
      <formula1>"J,N"</formula1>
    </dataValidation>
    <dataValidation sqref="N23" showDropDown="0" showInputMessage="0" showErrorMessage="0" allowBlank="1" type="list">
      <formula1>"J,N"</formula1>
    </dataValidation>
    <dataValidation sqref="O23" showDropDown="0" showInputMessage="0" showErrorMessage="0" allowBlank="1" type="list">
      <formula1>"J,N"</formula1>
    </dataValidation>
    <dataValidation sqref="P23" showDropDown="0" showInputMessage="0" showErrorMessage="0" allowBlank="1" type="list">
      <formula1>"J,N"</formula1>
    </dataValidation>
    <dataValidation sqref="Q23" showDropDown="0" showInputMessage="0" showErrorMessage="0" allowBlank="1" type="list">
      <formula1>"J,N"</formula1>
    </dataValidation>
    <dataValidation sqref="R23" showDropDown="0" showInputMessage="0" showErrorMessage="0" allowBlank="1" type="list">
      <formula1>"J,N"</formula1>
    </dataValidation>
    <dataValidation sqref="S23" showDropDown="0" showInputMessage="0" showErrorMessage="0" allowBlank="1" type="list">
      <formula1>"J,N"</formula1>
    </dataValidation>
    <dataValidation sqref="C24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4" showDropDown="0" showInputMessage="0" showErrorMessage="0" allowBlank="1" type="list">
      <formula1>"J,N"</formula1>
    </dataValidation>
    <dataValidation sqref="G24" showDropDown="0" showInputMessage="0" showErrorMessage="0" allowBlank="1" type="list">
      <formula1>"J,N"</formula1>
    </dataValidation>
    <dataValidation sqref="H24" showDropDown="0" showInputMessage="0" showErrorMessage="0" allowBlank="1" type="list">
      <formula1>"J,N"</formula1>
    </dataValidation>
    <dataValidation sqref="I24" showDropDown="0" showInputMessage="0" showErrorMessage="0" allowBlank="1" type="list">
      <formula1>"J,N"</formula1>
    </dataValidation>
    <dataValidation sqref="J24" showDropDown="0" showInputMessage="0" showErrorMessage="0" allowBlank="1" type="list">
      <formula1>"J,N"</formula1>
    </dataValidation>
    <dataValidation sqref="K24" showDropDown="0" showInputMessage="0" showErrorMessage="0" allowBlank="1" type="list">
      <formula1>"J,N"</formula1>
    </dataValidation>
    <dataValidation sqref="L24" showDropDown="0" showInputMessage="0" showErrorMessage="0" allowBlank="1" type="list">
      <formula1>"J,N"</formula1>
    </dataValidation>
    <dataValidation sqref="M24" showDropDown="0" showInputMessage="0" showErrorMessage="0" allowBlank="1" type="list">
      <formula1>"J,N"</formula1>
    </dataValidation>
    <dataValidation sqref="N24" showDropDown="0" showInputMessage="0" showErrorMessage="0" allowBlank="1" type="list">
      <formula1>"J,N"</formula1>
    </dataValidation>
    <dataValidation sqref="O24" showDropDown="0" showInputMessage="0" showErrorMessage="0" allowBlank="1" type="list">
      <formula1>"J,N"</formula1>
    </dataValidation>
    <dataValidation sqref="P24" showDropDown="0" showInputMessage="0" showErrorMessage="0" allowBlank="1" type="list">
      <formula1>"J,N"</formula1>
    </dataValidation>
    <dataValidation sqref="Q24" showDropDown="0" showInputMessage="0" showErrorMessage="0" allowBlank="1" type="list">
      <formula1>"J,N"</formula1>
    </dataValidation>
    <dataValidation sqref="R24" showDropDown="0" showInputMessage="0" showErrorMessage="0" allowBlank="1" type="list">
      <formula1>"J,N"</formula1>
    </dataValidation>
    <dataValidation sqref="S24" showDropDown="0" showInputMessage="0" showErrorMessage="0" allowBlank="1" type="list">
      <formula1>"J,N"</formula1>
    </dataValidation>
    <dataValidation sqref="C25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5" showDropDown="0" showInputMessage="0" showErrorMessage="0" allowBlank="1" type="list">
      <formula1>"J,N"</formula1>
    </dataValidation>
    <dataValidation sqref="G25" showDropDown="0" showInputMessage="0" showErrorMessage="0" allowBlank="1" type="list">
      <formula1>"J,N"</formula1>
    </dataValidation>
    <dataValidation sqref="H25" showDropDown="0" showInputMessage="0" showErrorMessage="0" allowBlank="1" type="list">
      <formula1>"J,N"</formula1>
    </dataValidation>
    <dataValidation sqref="I25" showDropDown="0" showInputMessage="0" showErrorMessage="0" allowBlank="1" type="list">
      <formula1>"J,N"</formula1>
    </dataValidation>
    <dataValidation sqref="J25" showDropDown="0" showInputMessage="0" showErrorMessage="0" allowBlank="1" type="list">
      <formula1>"J,N"</formula1>
    </dataValidation>
    <dataValidation sqref="K25" showDropDown="0" showInputMessage="0" showErrorMessage="0" allowBlank="1" type="list">
      <formula1>"J,N"</formula1>
    </dataValidation>
    <dataValidation sqref="L25" showDropDown="0" showInputMessage="0" showErrorMessage="0" allowBlank="1" type="list">
      <formula1>"J,N"</formula1>
    </dataValidation>
    <dataValidation sqref="M25" showDropDown="0" showInputMessage="0" showErrorMessage="0" allowBlank="1" type="list">
      <formula1>"J,N"</formula1>
    </dataValidation>
    <dataValidation sqref="N25" showDropDown="0" showInputMessage="0" showErrorMessage="0" allowBlank="1" type="list">
      <formula1>"J,N"</formula1>
    </dataValidation>
    <dataValidation sqref="O25" showDropDown="0" showInputMessage="0" showErrorMessage="0" allowBlank="1" type="list">
      <formula1>"J,N"</formula1>
    </dataValidation>
    <dataValidation sqref="P25" showDropDown="0" showInputMessage="0" showErrorMessage="0" allowBlank="1" type="list">
      <formula1>"J,N"</formula1>
    </dataValidation>
    <dataValidation sqref="Q25" showDropDown="0" showInputMessage="0" showErrorMessage="0" allowBlank="1" type="list">
      <formula1>"J,N"</formula1>
    </dataValidation>
    <dataValidation sqref="R25" showDropDown="0" showInputMessage="0" showErrorMessage="0" allowBlank="1" type="list">
      <formula1>"J,N"</formula1>
    </dataValidation>
    <dataValidation sqref="S25" showDropDown="0" showInputMessage="0" showErrorMessage="0" allowBlank="1" type="list">
      <formula1>"J,N"</formula1>
    </dataValidation>
    <dataValidation sqref="C26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6" showDropDown="0" showInputMessage="0" showErrorMessage="0" allowBlank="1" type="list">
      <formula1>"J,N"</formula1>
    </dataValidation>
    <dataValidation sqref="G26" showDropDown="0" showInputMessage="0" showErrorMessage="0" allowBlank="1" type="list">
      <formula1>"J,N"</formula1>
    </dataValidation>
    <dataValidation sqref="H26" showDropDown="0" showInputMessage="0" showErrorMessage="0" allowBlank="1" type="list">
      <formula1>"J,N"</formula1>
    </dataValidation>
    <dataValidation sqref="I26" showDropDown="0" showInputMessage="0" showErrorMessage="0" allowBlank="1" type="list">
      <formula1>"J,N"</formula1>
    </dataValidation>
    <dataValidation sqref="J26" showDropDown="0" showInputMessage="0" showErrorMessage="0" allowBlank="1" type="list">
      <formula1>"J,N"</formula1>
    </dataValidation>
    <dataValidation sqref="K26" showDropDown="0" showInputMessage="0" showErrorMessage="0" allowBlank="1" type="list">
      <formula1>"J,N"</formula1>
    </dataValidation>
    <dataValidation sqref="L26" showDropDown="0" showInputMessage="0" showErrorMessage="0" allowBlank="1" type="list">
      <formula1>"J,N"</formula1>
    </dataValidation>
    <dataValidation sqref="M26" showDropDown="0" showInputMessage="0" showErrorMessage="0" allowBlank="1" type="list">
      <formula1>"J,N"</formula1>
    </dataValidation>
    <dataValidation sqref="N26" showDropDown="0" showInputMessage="0" showErrorMessage="0" allowBlank="1" type="list">
      <formula1>"J,N"</formula1>
    </dataValidation>
    <dataValidation sqref="O26" showDropDown="0" showInputMessage="0" showErrorMessage="0" allowBlank="1" type="list">
      <formula1>"J,N"</formula1>
    </dataValidation>
    <dataValidation sqref="P26" showDropDown="0" showInputMessage="0" showErrorMessage="0" allowBlank="1" type="list">
      <formula1>"J,N"</formula1>
    </dataValidation>
    <dataValidation sqref="Q26" showDropDown="0" showInputMessage="0" showErrorMessage="0" allowBlank="1" type="list">
      <formula1>"J,N"</formula1>
    </dataValidation>
    <dataValidation sqref="R26" showDropDown="0" showInputMessage="0" showErrorMessage="0" allowBlank="1" type="list">
      <formula1>"J,N"</formula1>
    </dataValidation>
    <dataValidation sqref="S26" showDropDown="0" showInputMessage="0" showErrorMessage="0" allowBlank="1" type="list">
      <formula1>"J,N"</formula1>
    </dataValidation>
    <dataValidation sqref="C27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7" showDropDown="0" showInputMessage="0" showErrorMessage="0" allowBlank="1" type="list">
      <formula1>"J,N"</formula1>
    </dataValidation>
    <dataValidation sqref="G27" showDropDown="0" showInputMessage="0" showErrorMessage="0" allowBlank="1" type="list">
      <formula1>"J,N"</formula1>
    </dataValidation>
    <dataValidation sqref="H27" showDropDown="0" showInputMessage="0" showErrorMessage="0" allowBlank="1" type="list">
      <formula1>"J,N"</formula1>
    </dataValidation>
    <dataValidation sqref="I27" showDropDown="0" showInputMessage="0" showErrorMessage="0" allowBlank="1" type="list">
      <formula1>"J,N"</formula1>
    </dataValidation>
    <dataValidation sqref="J27" showDropDown="0" showInputMessage="0" showErrorMessage="0" allowBlank="1" type="list">
      <formula1>"J,N"</formula1>
    </dataValidation>
    <dataValidation sqref="K27" showDropDown="0" showInputMessage="0" showErrorMessage="0" allowBlank="1" type="list">
      <formula1>"J,N"</formula1>
    </dataValidation>
    <dataValidation sqref="L27" showDropDown="0" showInputMessage="0" showErrorMessage="0" allowBlank="1" type="list">
      <formula1>"J,N"</formula1>
    </dataValidation>
    <dataValidation sqref="M27" showDropDown="0" showInputMessage="0" showErrorMessage="0" allowBlank="1" type="list">
      <formula1>"J,N"</formula1>
    </dataValidation>
    <dataValidation sqref="N27" showDropDown="0" showInputMessage="0" showErrorMessage="0" allowBlank="1" type="list">
      <formula1>"J,N"</formula1>
    </dataValidation>
    <dataValidation sqref="O27" showDropDown="0" showInputMessage="0" showErrorMessage="0" allowBlank="1" type="list">
      <formula1>"J,N"</formula1>
    </dataValidation>
    <dataValidation sqref="P27" showDropDown="0" showInputMessage="0" showErrorMessage="0" allowBlank="1" type="list">
      <formula1>"J,N"</formula1>
    </dataValidation>
    <dataValidation sqref="Q27" showDropDown="0" showInputMessage="0" showErrorMessage="0" allowBlank="1" type="list">
      <formula1>"J,N"</formula1>
    </dataValidation>
    <dataValidation sqref="R27" showDropDown="0" showInputMessage="0" showErrorMessage="0" allowBlank="1" type="list">
      <formula1>"J,N"</formula1>
    </dataValidation>
    <dataValidation sqref="S27" showDropDown="0" showInputMessage="0" showErrorMessage="0" allowBlank="1" type="list">
      <formula1>"J,N"</formula1>
    </dataValidation>
    <dataValidation sqref="C28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8" showDropDown="0" showInputMessage="0" showErrorMessage="0" allowBlank="1" type="list">
      <formula1>"J,N"</formula1>
    </dataValidation>
    <dataValidation sqref="G28" showDropDown="0" showInputMessage="0" showErrorMessage="0" allowBlank="1" type="list">
      <formula1>"J,N"</formula1>
    </dataValidation>
    <dataValidation sqref="H28" showDropDown="0" showInputMessage="0" showErrorMessage="0" allowBlank="1" type="list">
      <formula1>"J,N"</formula1>
    </dataValidation>
    <dataValidation sqref="I28" showDropDown="0" showInputMessage="0" showErrorMessage="0" allowBlank="1" type="list">
      <formula1>"J,N"</formula1>
    </dataValidation>
    <dataValidation sqref="J28" showDropDown="0" showInputMessage="0" showErrorMessage="0" allowBlank="1" type="list">
      <formula1>"J,N"</formula1>
    </dataValidation>
    <dataValidation sqref="K28" showDropDown="0" showInputMessage="0" showErrorMessage="0" allowBlank="1" type="list">
      <formula1>"J,N"</formula1>
    </dataValidation>
    <dataValidation sqref="L28" showDropDown="0" showInputMessage="0" showErrorMessage="0" allowBlank="1" type="list">
      <formula1>"J,N"</formula1>
    </dataValidation>
    <dataValidation sqref="M28" showDropDown="0" showInputMessage="0" showErrorMessage="0" allowBlank="1" type="list">
      <formula1>"J,N"</formula1>
    </dataValidation>
    <dataValidation sqref="N28" showDropDown="0" showInputMessage="0" showErrorMessage="0" allowBlank="1" type="list">
      <formula1>"J,N"</formula1>
    </dataValidation>
    <dataValidation sqref="O28" showDropDown="0" showInputMessage="0" showErrorMessage="0" allowBlank="1" type="list">
      <formula1>"J,N"</formula1>
    </dataValidation>
    <dataValidation sqref="P28" showDropDown="0" showInputMessage="0" showErrorMessage="0" allowBlank="1" type="list">
      <formula1>"J,N"</formula1>
    </dataValidation>
    <dataValidation sqref="Q28" showDropDown="0" showInputMessage="0" showErrorMessage="0" allowBlank="1" type="list">
      <formula1>"J,N"</formula1>
    </dataValidation>
    <dataValidation sqref="R28" showDropDown="0" showInputMessage="0" showErrorMessage="0" allowBlank="1" type="list">
      <formula1>"J,N"</formula1>
    </dataValidation>
    <dataValidation sqref="S28" showDropDown="0" showInputMessage="0" showErrorMessage="0" allowBlank="1" type="list">
      <formula1>"J,N"</formula1>
    </dataValidation>
    <dataValidation sqref="C29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29" showDropDown="0" showInputMessage="0" showErrorMessage="0" allowBlank="1" type="list">
      <formula1>"J,N"</formula1>
    </dataValidation>
    <dataValidation sqref="G29" showDropDown="0" showInputMessage="0" showErrorMessage="0" allowBlank="1" type="list">
      <formula1>"J,N"</formula1>
    </dataValidation>
    <dataValidation sqref="H29" showDropDown="0" showInputMessage="0" showErrorMessage="0" allowBlank="1" type="list">
      <formula1>"J,N"</formula1>
    </dataValidation>
    <dataValidation sqref="I29" showDropDown="0" showInputMessage="0" showErrorMessage="0" allowBlank="1" type="list">
      <formula1>"J,N"</formula1>
    </dataValidation>
    <dataValidation sqref="J29" showDropDown="0" showInputMessage="0" showErrorMessage="0" allowBlank="1" type="list">
      <formula1>"J,N"</formula1>
    </dataValidation>
    <dataValidation sqref="K29" showDropDown="0" showInputMessage="0" showErrorMessage="0" allowBlank="1" type="list">
      <formula1>"J,N"</formula1>
    </dataValidation>
    <dataValidation sqref="L29" showDropDown="0" showInputMessage="0" showErrorMessage="0" allowBlank="1" type="list">
      <formula1>"J,N"</formula1>
    </dataValidation>
    <dataValidation sqref="M29" showDropDown="0" showInputMessage="0" showErrorMessage="0" allowBlank="1" type="list">
      <formula1>"J,N"</formula1>
    </dataValidation>
    <dataValidation sqref="N29" showDropDown="0" showInputMessage="0" showErrorMessage="0" allowBlank="1" type="list">
      <formula1>"J,N"</formula1>
    </dataValidation>
    <dataValidation sqref="O29" showDropDown="0" showInputMessage="0" showErrorMessage="0" allowBlank="1" type="list">
      <formula1>"J,N"</formula1>
    </dataValidation>
    <dataValidation sqref="P29" showDropDown="0" showInputMessage="0" showErrorMessage="0" allowBlank="1" type="list">
      <formula1>"J,N"</formula1>
    </dataValidation>
    <dataValidation sqref="Q29" showDropDown="0" showInputMessage="0" showErrorMessage="0" allowBlank="1" type="list">
      <formula1>"J,N"</formula1>
    </dataValidation>
    <dataValidation sqref="R29" showDropDown="0" showInputMessage="0" showErrorMessage="0" allowBlank="1" type="list">
      <formula1>"J,N"</formula1>
    </dataValidation>
    <dataValidation sqref="S29" showDropDown="0" showInputMessage="0" showErrorMessage="0" allowBlank="1" type="list">
      <formula1>"J,N"</formula1>
    </dataValidation>
    <dataValidation sqref="C30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0" showDropDown="0" showInputMessage="0" showErrorMessage="0" allowBlank="1" type="list">
      <formula1>"J,N"</formula1>
    </dataValidation>
    <dataValidation sqref="G30" showDropDown="0" showInputMessage="0" showErrorMessage="0" allowBlank="1" type="list">
      <formula1>"J,N"</formula1>
    </dataValidation>
    <dataValidation sqref="H30" showDropDown="0" showInputMessage="0" showErrorMessage="0" allowBlank="1" type="list">
      <formula1>"J,N"</formula1>
    </dataValidation>
    <dataValidation sqref="I30" showDropDown="0" showInputMessage="0" showErrorMessage="0" allowBlank="1" type="list">
      <formula1>"J,N"</formula1>
    </dataValidation>
    <dataValidation sqref="J30" showDropDown="0" showInputMessage="0" showErrorMessage="0" allowBlank="1" type="list">
      <formula1>"J,N"</formula1>
    </dataValidation>
    <dataValidation sqref="K30" showDropDown="0" showInputMessage="0" showErrorMessage="0" allowBlank="1" type="list">
      <formula1>"J,N"</formula1>
    </dataValidation>
    <dataValidation sqref="L30" showDropDown="0" showInputMessage="0" showErrorMessage="0" allowBlank="1" type="list">
      <formula1>"J,N"</formula1>
    </dataValidation>
    <dataValidation sqref="M30" showDropDown="0" showInputMessage="0" showErrorMessage="0" allowBlank="1" type="list">
      <formula1>"J,N"</formula1>
    </dataValidation>
    <dataValidation sqref="N30" showDropDown="0" showInputMessage="0" showErrorMessage="0" allowBlank="1" type="list">
      <formula1>"J,N"</formula1>
    </dataValidation>
    <dataValidation sqref="O30" showDropDown="0" showInputMessage="0" showErrorMessage="0" allowBlank="1" type="list">
      <formula1>"J,N"</formula1>
    </dataValidation>
    <dataValidation sqref="P30" showDropDown="0" showInputMessage="0" showErrorMessage="0" allowBlank="1" type="list">
      <formula1>"J,N"</formula1>
    </dataValidation>
    <dataValidation sqref="Q30" showDropDown="0" showInputMessage="0" showErrorMessage="0" allowBlank="1" type="list">
      <formula1>"J,N"</formula1>
    </dataValidation>
    <dataValidation sqref="R30" showDropDown="0" showInputMessage="0" showErrorMessage="0" allowBlank="1" type="list">
      <formula1>"J,N"</formula1>
    </dataValidation>
    <dataValidation sqref="S30" showDropDown="0" showInputMessage="0" showErrorMessage="0" allowBlank="1" type="list">
      <formula1>"J,N"</formula1>
    </dataValidation>
    <dataValidation sqref="C31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1" showDropDown="0" showInputMessage="0" showErrorMessage="0" allowBlank="1" type="list">
      <formula1>"J,N"</formula1>
    </dataValidation>
    <dataValidation sqref="G31" showDropDown="0" showInputMessage="0" showErrorMessage="0" allowBlank="1" type="list">
      <formula1>"J,N"</formula1>
    </dataValidation>
    <dataValidation sqref="H31" showDropDown="0" showInputMessage="0" showErrorMessage="0" allowBlank="1" type="list">
      <formula1>"J,N"</formula1>
    </dataValidation>
    <dataValidation sqref="I31" showDropDown="0" showInputMessage="0" showErrorMessage="0" allowBlank="1" type="list">
      <formula1>"J,N"</formula1>
    </dataValidation>
    <dataValidation sqref="J31" showDropDown="0" showInputMessage="0" showErrorMessage="0" allowBlank="1" type="list">
      <formula1>"J,N"</formula1>
    </dataValidation>
    <dataValidation sqref="K31" showDropDown="0" showInputMessage="0" showErrorMessage="0" allowBlank="1" type="list">
      <formula1>"J,N"</formula1>
    </dataValidation>
    <dataValidation sqref="L31" showDropDown="0" showInputMessage="0" showErrorMessage="0" allowBlank="1" type="list">
      <formula1>"J,N"</formula1>
    </dataValidation>
    <dataValidation sqref="M31" showDropDown="0" showInputMessage="0" showErrorMessage="0" allowBlank="1" type="list">
      <formula1>"J,N"</formula1>
    </dataValidation>
    <dataValidation sqref="N31" showDropDown="0" showInputMessage="0" showErrorMessage="0" allowBlank="1" type="list">
      <formula1>"J,N"</formula1>
    </dataValidation>
    <dataValidation sqref="O31" showDropDown="0" showInputMessage="0" showErrorMessage="0" allowBlank="1" type="list">
      <formula1>"J,N"</formula1>
    </dataValidation>
    <dataValidation sqref="P31" showDropDown="0" showInputMessage="0" showErrorMessage="0" allowBlank="1" type="list">
      <formula1>"J,N"</formula1>
    </dataValidation>
    <dataValidation sqref="Q31" showDropDown="0" showInputMessage="0" showErrorMessage="0" allowBlank="1" type="list">
      <formula1>"J,N"</formula1>
    </dataValidation>
    <dataValidation sqref="R31" showDropDown="0" showInputMessage="0" showErrorMessage="0" allowBlank="1" type="list">
      <formula1>"J,N"</formula1>
    </dataValidation>
    <dataValidation sqref="S31" showDropDown="0" showInputMessage="0" showErrorMessage="0" allowBlank="1" type="list">
      <formula1>"J,N"</formula1>
    </dataValidation>
    <dataValidation sqref="C32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2" showDropDown="0" showInputMessage="0" showErrorMessage="0" allowBlank="1" type="list">
      <formula1>"J,N"</formula1>
    </dataValidation>
    <dataValidation sqref="G32" showDropDown="0" showInputMessage="0" showErrorMessage="0" allowBlank="1" type="list">
      <formula1>"J,N"</formula1>
    </dataValidation>
    <dataValidation sqref="H32" showDropDown="0" showInputMessage="0" showErrorMessage="0" allowBlank="1" type="list">
      <formula1>"J,N"</formula1>
    </dataValidation>
    <dataValidation sqref="I32" showDropDown="0" showInputMessage="0" showErrorMessage="0" allowBlank="1" type="list">
      <formula1>"J,N"</formula1>
    </dataValidation>
    <dataValidation sqref="J32" showDropDown="0" showInputMessage="0" showErrorMessage="0" allowBlank="1" type="list">
      <formula1>"J,N"</formula1>
    </dataValidation>
    <dataValidation sqref="K32" showDropDown="0" showInputMessage="0" showErrorMessage="0" allowBlank="1" type="list">
      <formula1>"J,N"</formula1>
    </dataValidation>
    <dataValidation sqref="L32" showDropDown="0" showInputMessage="0" showErrorMessage="0" allowBlank="1" type="list">
      <formula1>"J,N"</formula1>
    </dataValidation>
    <dataValidation sqref="M32" showDropDown="0" showInputMessage="0" showErrorMessage="0" allowBlank="1" type="list">
      <formula1>"J,N"</formula1>
    </dataValidation>
    <dataValidation sqref="N32" showDropDown="0" showInputMessage="0" showErrorMessage="0" allowBlank="1" type="list">
      <formula1>"J,N"</formula1>
    </dataValidation>
    <dataValidation sqref="O32" showDropDown="0" showInputMessage="0" showErrorMessage="0" allowBlank="1" type="list">
      <formula1>"J,N"</formula1>
    </dataValidation>
    <dataValidation sqref="P32" showDropDown="0" showInputMessage="0" showErrorMessage="0" allowBlank="1" type="list">
      <formula1>"J,N"</formula1>
    </dataValidation>
    <dataValidation sqref="Q32" showDropDown="0" showInputMessage="0" showErrorMessage="0" allowBlank="1" type="list">
      <formula1>"J,N"</formula1>
    </dataValidation>
    <dataValidation sqref="R32" showDropDown="0" showInputMessage="0" showErrorMessage="0" allowBlank="1" type="list">
      <formula1>"J,N"</formula1>
    </dataValidation>
    <dataValidation sqref="S32" showDropDown="0" showInputMessage="0" showErrorMessage="0" allowBlank="1" type="list">
      <formula1>"J,N"</formula1>
    </dataValidation>
    <dataValidation sqref="C33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3" showDropDown="0" showInputMessage="0" showErrorMessage="0" allowBlank="1" type="list">
      <formula1>"J,N"</formula1>
    </dataValidation>
    <dataValidation sqref="G33" showDropDown="0" showInputMessage="0" showErrorMessage="0" allowBlank="1" type="list">
      <formula1>"J,N"</formula1>
    </dataValidation>
    <dataValidation sqref="H33" showDropDown="0" showInputMessage="0" showErrorMessage="0" allowBlank="1" type="list">
      <formula1>"J,N"</formula1>
    </dataValidation>
    <dataValidation sqref="I33" showDropDown="0" showInputMessage="0" showErrorMessage="0" allowBlank="1" type="list">
      <formula1>"J,N"</formula1>
    </dataValidation>
    <dataValidation sqref="J33" showDropDown="0" showInputMessage="0" showErrorMessage="0" allowBlank="1" type="list">
      <formula1>"J,N"</formula1>
    </dataValidation>
    <dataValidation sqref="K33" showDropDown="0" showInputMessage="0" showErrorMessage="0" allowBlank="1" type="list">
      <formula1>"J,N"</formula1>
    </dataValidation>
    <dataValidation sqref="L33" showDropDown="0" showInputMessage="0" showErrorMessage="0" allowBlank="1" type="list">
      <formula1>"J,N"</formula1>
    </dataValidation>
    <dataValidation sqref="M33" showDropDown="0" showInputMessage="0" showErrorMessage="0" allowBlank="1" type="list">
      <formula1>"J,N"</formula1>
    </dataValidation>
    <dataValidation sqref="N33" showDropDown="0" showInputMessage="0" showErrorMessage="0" allowBlank="1" type="list">
      <formula1>"J,N"</formula1>
    </dataValidation>
    <dataValidation sqref="O33" showDropDown="0" showInputMessage="0" showErrorMessage="0" allowBlank="1" type="list">
      <formula1>"J,N"</formula1>
    </dataValidation>
    <dataValidation sqref="P33" showDropDown="0" showInputMessage="0" showErrorMessage="0" allowBlank="1" type="list">
      <formula1>"J,N"</formula1>
    </dataValidation>
    <dataValidation sqref="Q33" showDropDown="0" showInputMessage="0" showErrorMessage="0" allowBlank="1" type="list">
      <formula1>"J,N"</formula1>
    </dataValidation>
    <dataValidation sqref="R33" showDropDown="0" showInputMessage="0" showErrorMessage="0" allowBlank="1" type="list">
      <formula1>"J,N"</formula1>
    </dataValidation>
    <dataValidation sqref="S33" showDropDown="0" showInputMessage="0" showErrorMessage="0" allowBlank="1" type="list">
      <formula1>"J,N"</formula1>
    </dataValidation>
    <dataValidation sqref="C34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4" showDropDown="0" showInputMessage="0" showErrorMessage="0" allowBlank="1" type="list">
      <formula1>"J,N"</formula1>
    </dataValidation>
    <dataValidation sqref="G34" showDropDown="0" showInputMessage="0" showErrorMessage="0" allowBlank="1" type="list">
      <formula1>"J,N"</formula1>
    </dataValidation>
    <dataValidation sqref="H34" showDropDown="0" showInputMessage="0" showErrorMessage="0" allowBlank="1" type="list">
      <formula1>"J,N"</formula1>
    </dataValidation>
    <dataValidation sqref="I34" showDropDown="0" showInputMessage="0" showErrorMessage="0" allowBlank="1" type="list">
      <formula1>"J,N"</formula1>
    </dataValidation>
    <dataValidation sqref="J34" showDropDown="0" showInputMessage="0" showErrorMessage="0" allowBlank="1" type="list">
      <formula1>"J,N"</formula1>
    </dataValidation>
    <dataValidation sqref="K34" showDropDown="0" showInputMessage="0" showErrorMessage="0" allowBlank="1" type="list">
      <formula1>"J,N"</formula1>
    </dataValidation>
    <dataValidation sqref="L34" showDropDown="0" showInputMessage="0" showErrorMessage="0" allowBlank="1" type="list">
      <formula1>"J,N"</formula1>
    </dataValidation>
    <dataValidation sqref="M34" showDropDown="0" showInputMessage="0" showErrorMessage="0" allowBlank="1" type="list">
      <formula1>"J,N"</formula1>
    </dataValidation>
    <dataValidation sqref="N34" showDropDown="0" showInputMessage="0" showErrorMessage="0" allowBlank="1" type="list">
      <formula1>"J,N"</formula1>
    </dataValidation>
    <dataValidation sqref="O34" showDropDown="0" showInputMessage="0" showErrorMessage="0" allowBlank="1" type="list">
      <formula1>"J,N"</formula1>
    </dataValidation>
    <dataValidation sqref="P34" showDropDown="0" showInputMessage="0" showErrorMessage="0" allowBlank="1" type="list">
      <formula1>"J,N"</formula1>
    </dataValidation>
    <dataValidation sqref="Q34" showDropDown="0" showInputMessage="0" showErrorMessage="0" allowBlank="1" type="list">
      <formula1>"J,N"</formula1>
    </dataValidation>
    <dataValidation sqref="R34" showDropDown="0" showInputMessage="0" showErrorMessage="0" allowBlank="1" type="list">
      <formula1>"J,N"</formula1>
    </dataValidation>
    <dataValidation sqref="S34" showDropDown="0" showInputMessage="0" showErrorMessage="0" allowBlank="1" type="list">
      <formula1>"J,N"</formula1>
    </dataValidation>
    <dataValidation sqref="C35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5" showDropDown="0" showInputMessage="0" showErrorMessage="0" allowBlank="1" type="list">
      <formula1>"J,N"</formula1>
    </dataValidation>
    <dataValidation sqref="G35" showDropDown="0" showInputMessage="0" showErrorMessage="0" allowBlank="1" type="list">
      <formula1>"J,N"</formula1>
    </dataValidation>
    <dataValidation sqref="H35" showDropDown="0" showInputMessage="0" showErrorMessage="0" allowBlank="1" type="list">
      <formula1>"J,N"</formula1>
    </dataValidation>
    <dataValidation sqref="I35" showDropDown="0" showInputMessage="0" showErrorMessage="0" allowBlank="1" type="list">
      <formula1>"J,N"</formula1>
    </dataValidation>
    <dataValidation sqref="J35" showDropDown="0" showInputMessage="0" showErrorMessage="0" allowBlank="1" type="list">
      <formula1>"J,N"</formula1>
    </dataValidation>
    <dataValidation sqref="K35" showDropDown="0" showInputMessage="0" showErrorMessage="0" allowBlank="1" type="list">
      <formula1>"J,N"</formula1>
    </dataValidation>
    <dataValidation sqref="L35" showDropDown="0" showInputMessage="0" showErrorMessage="0" allowBlank="1" type="list">
      <formula1>"J,N"</formula1>
    </dataValidation>
    <dataValidation sqref="M35" showDropDown="0" showInputMessage="0" showErrorMessage="0" allowBlank="1" type="list">
      <formula1>"J,N"</formula1>
    </dataValidation>
    <dataValidation sqref="N35" showDropDown="0" showInputMessage="0" showErrorMessage="0" allowBlank="1" type="list">
      <formula1>"J,N"</formula1>
    </dataValidation>
    <dataValidation sqref="O35" showDropDown="0" showInputMessage="0" showErrorMessage="0" allowBlank="1" type="list">
      <formula1>"J,N"</formula1>
    </dataValidation>
    <dataValidation sqref="P35" showDropDown="0" showInputMessage="0" showErrorMessage="0" allowBlank="1" type="list">
      <formula1>"J,N"</formula1>
    </dataValidation>
    <dataValidation sqref="Q35" showDropDown="0" showInputMessage="0" showErrorMessage="0" allowBlank="1" type="list">
      <formula1>"J,N"</formula1>
    </dataValidation>
    <dataValidation sqref="R35" showDropDown="0" showInputMessage="0" showErrorMessage="0" allowBlank="1" type="list">
      <formula1>"J,N"</formula1>
    </dataValidation>
    <dataValidation sqref="S35" showDropDown="0" showInputMessage="0" showErrorMessage="0" allowBlank="1" type="list">
      <formula1>"J,N"</formula1>
    </dataValidation>
    <dataValidation sqref="C36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6" showDropDown="0" showInputMessage="0" showErrorMessage="0" allowBlank="1" type="list">
      <formula1>"J,N"</formula1>
    </dataValidation>
    <dataValidation sqref="G36" showDropDown="0" showInputMessage="0" showErrorMessage="0" allowBlank="1" type="list">
      <formula1>"J,N"</formula1>
    </dataValidation>
    <dataValidation sqref="H36" showDropDown="0" showInputMessage="0" showErrorMessage="0" allowBlank="1" type="list">
      <formula1>"J,N"</formula1>
    </dataValidation>
    <dataValidation sqref="I36" showDropDown="0" showInputMessage="0" showErrorMessage="0" allowBlank="1" type="list">
      <formula1>"J,N"</formula1>
    </dataValidation>
    <dataValidation sqref="J36" showDropDown="0" showInputMessage="0" showErrorMessage="0" allowBlank="1" type="list">
      <formula1>"J,N"</formula1>
    </dataValidation>
    <dataValidation sqref="K36" showDropDown="0" showInputMessage="0" showErrorMessage="0" allowBlank="1" type="list">
      <formula1>"J,N"</formula1>
    </dataValidation>
    <dataValidation sqref="L36" showDropDown="0" showInputMessage="0" showErrorMessage="0" allowBlank="1" type="list">
      <formula1>"J,N"</formula1>
    </dataValidation>
    <dataValidation sqref="M36" showDropDown="0" showInputMessage="0" showErrorMessage="0" allowBlank="1" type="list">
      <formula1>"J,N"</formula1>
    </dataValidation>
    <dataValidation sqref="N36" showDropDown="0" showInputMessage="0" showErrorMessage="0" allowBlank="1" type="list">
      <formula1>"J,N"</formula1>
    </dataValidation>
    <dataValidation sqref="O36" showDropDown="0" showInputMessage="0" showErrorMessage="0" allowBlank="1" type="list">
      <formula1>"J,N"</formula1>
    </dataValidation>
    <dataValidation sqref="P36" showDropDown="0" showInputMessage="0" showErrorMessage="0" allowBlank="1" type="list">
      <formula1>"J,N"</formula1>
    </dataValidation>
    <dataValidation sqref="Q36" showDropDown="0" showInputMessage="0" showErrorMessage="0" allowBlank="1" type="list">
      <formula1>"J,N"</formula1>
    </dataValidation>
    <dataValidation sqref="R36" showDropDown="0" showInputMessage="0" showErrorMessage="0" allowBlank="1" type="list">
      <formula1>"J,N"</formula1>
    </dataValidation>
    <dataValidation sqref="S36" showDropDown="0" showInputMessage="0" showErrorMessage="0" allowBlank="1" type="list">
      <formula1>"J,N"</formula1>
    </dataValidation>
    <dataValidation sqref="C37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7" showDropDown="0" showInputMessage="0" showErrorMessage="0" allowBlank="1" type="list">
      <formula1>"J,N"</formula1>
    </dataValidation>
    <dataValidation sqref="G37" showDropDown="0" showInputMessage="0" showErrorMessage="0" allowBlank="1" type="list">
      <formula1>"J,N"</formula1>
    </dataValidation>
    <dataValidation sqref="H37" showDropDown="0" showInputMessage="0" showErrorMessage="0" allowBlank="1" type="list">
      <formula1>"J,N"</formula1>
    </dataValidation>
    <dataValidation sqref="I37" showDropDown="0" showInputMessage="0" showErrorMessage="0" allowBlank="1" type="list">
      <formula1>"J,N"</formula1>
    </dataValidation>
    <dataValidation sqref="J37" showDropDown="0" showInputMessage="0" showErrorMessage="0" allowBlank="1" type="list">
      <formula1>"J,N"</formula1>
    </dataValidation>
    <dataValidation sqref="K37" showDropDown="0" showInputMessage="0" showErrorMessage="0" allowBlank="1" type="list">
      <formula1>"J,N"</formula1>
    </dataValidation>
    <dataValidation sqref="L37" showDropDown="0" showInputMessage="0" showErrorMessage="0" allowBlank="1" type="list">
      <formula1>"J,N"</formula1>
    </dataValidation>
    <dataValidation sqref="M37" showDropDown="0" showInputMessage="0" showErrorMessage="0" allowBlank="1" type="list">
      <formula1>"J,N"</formula1>
    </dataValidation>
    <dataValidation sqref="N37" showDropDown="0" showInputMessage="0" showErrorMessage="0" allowBlank="1" type="list">
      <formula1>"J,N"</formula1>
    </dataValidation>
    <dataValidation sqref="O37" showDropDown="0" showInputMessage="0" showErrorMessage="0" allowBlank="1" type="list">
      <formula1>"J,N"</formula1>
    </dataValidation>
    <dataValidation sqref="P37" showDropDown="0" showInputMessage="0" showErrorMessage="0" allowBlank="1" type="list">
      <formula1>"J,N"</formula1>
    </dataValidation>
    <dataValidation sqref="Q37" showDropDown="0" showInputMessage="0" showErrorMessage="0" allowBlank="1" type="list">
      <formula1>"J,N"</formula1>
    </dataValidation>
    <dataValidation sqref="R37" showDropDown="0" showInputMessage="0" showErrorMessage="0" allowBlank="1" type="list">
      <formula1>"J,N"</formula1>
    </dataValidation>
    <dataValidation sqref="S37" showDropDown="0" showInputMessage="0" showErrorMessage="0" allowBlank="1" type="list">
      <formula1>"J,N"</formula1>
    </dataValidation>
    <dataValidation sqref="C38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8" showDropDown="0" showInputMessage="0" showErrorMessage="0" allowBlank="1" type="list">
      <formula1>"J,N"</formula1>
    </dataValidation>
    <dataValidation sqref="G38" showDropDown="0" showInputMessage="0" showErrorMessage="0" allowBlank="1" type="list">
      <formula1>"J,N"</formula1>
    </dataValidation>
    <dataValidation sqref="H38" showDropDown="0" showInputMessage="0" showErrorMessage="0" allowBlank="1" type="list">
      <formula1>"J,N"</formula1>
    </dataValidation>
    <dataValidation sqref="I38" showDropDown="0" showInputMessage="0" showErrorMessage="0" allowBlank="1" type="list">
      <formula1>"J,N"</formula1>
    </dataValidation>
    <dataValidation sqref="J38" showDropDown="0" showInputMessage="0" showErrorMessage="0" allowBlank="1" type="list">
      <formula1>"J,N"</formula1>
    </dataValidation>
    <dataValidation sqref="K38" showDropDown="0" showInputMessage="0" showErrorMessage="0" allowBlank="1" type="list">
      <formula1>"J,N"</formula1>
    </dataValidation>
    <dataValidation sqref="L38" showDropDown="0" showInputMessage="0" showErrorMessage="0" allowBlank="1" type="list">
      <formula1>"J,N"</formula1>
    </dataValidation>
    <dataValidation sqref="M38" showDropDown="0" showInputMessage="0" showErrorMessage="0" allowBlank="1" type="list">
      <formula1>"J,N"</formula1>
    </dataValidation>
    <dataValidation sqref="N38" showDropDown="0" showInputMessage="0" showErrorMessage="0" allowBlank="1" type="list">
      <formula1>"J,N"</formula1>
    </dataValidation>
    <dataValidation sqref="O38" showDropDown="0" showInputMessage="0" showErrorMessage="0" allowBlank="1" type="list">
      <formula1>"J,N"</formula1>
    </dataValidation>
    <dataValidation sqref="P38" showDropDown="0" showInputMessage="0" showErrorMessage="0" allowBlank="1" type="list">
      <formula1>"J,N"</formula1>
    </dataValidation>
    <dataValidation sqref="Q38" showDropDown="0" showInputMessage="0" showErrorMessage="0" allowBlank="1" type="list">
      <formula1>"J,N"</formula1>
    </dataValidation>
    <dataValidation sqref="R38" showDropDown="0" showInputMessage="0" showErrorMessage="0" allowBlank="1" type="list">
      <formula1>"J,N"</formula1>
    </dataValidation>
    <dataValidation sqref="S38" showDropDown="0" showInputMessage="0" showErrorMessage="0" allowBlank="1" type="list">
      <formula1>"J,N"</formula1>
    </dataValidation>
    <dataValidation sqref="C39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39" showDropDown="0" showInputMessage="0" showErrorMessage="0" allowBlank="1" type="list">
      <formula1>"J,N"</formula1>
    </dataValidation>
    <dataValidation sqref="G39" showDropDown="0" showInputMessage="0" showErrorMessage="0" allowBlank="1" type="list">
      <formula1>"J,N"</formula1>
    </dataValidation>
    <dataValidation sqref="H39" showDropDown="0" showInputMessage="0" showErrorMessage="0" allowBlank="1" type="list">
      <formula1>"J,N"</formula1>
    </dataValidation>
    <dataValidation sqref="I39" showDropDown="0" showInputMessage="0" showErrorMessage="0" allowBlank="1" type="list">
      <formula1>"J,N"</formula1>
    </dataValidation>
    <dataValidation sqref="J39" showDropDown="0" showInputMessage="0" showErrorMessage="0" allowBlank="1" type="list">
      <formula1>"J,N"</formula1>
    </dataValidation>
    <dataValidation sqref="K39" showDropDown="0" showInputMessage="0" showErrorMessage="0" allowBlank="1" type="list">
      <formula1>"J,N"</formula1>
    </dataValidation>
    <dataValidation sqref="L39" showDropDown="0" showInputMessage="0" showErrorMessage="0" allowBlank="1" type="list">
      <formula1>"J,N"</formula1>
    </dataValidation>
    <dataValidation sqref="M39" showDropDown="0" showInputMessage="0" showErrorMessage="0" allowBlank="1" type="list">
      <formula1>"J,N"</formula1>
    </dataValidation>
    <dataValidation sqref="N39" showDropDown="0" showInputMessage="0" showErrorMessage="0" allowBlank="1" type="list">
      <formula1>"J,N"</formula1>
    </dataValidation>
    <dataValidation sqref="O39" showDropDown="0" showInputMessage="0" showErrorMessage="0" allowBlank="1" type="list">
      <formula1>"J,N"</formula1>
    </dataValidation>
    <dataValidation sqref="P39" showDropDown="0" showInputMessage="0" showErrorMessage="0" allowBlank="1" type="list">
      <formula1>"J,N"</formula1>
    </dataValidation>
    <dataValidation sqref="Q39" showDropDown="0" showInputMessage="0" showErrorMessage="0" allowBlank="1" type="list">
      <formula1>"J,N"</formula1>
    </dataValidation>
    <dataValidation sqref="R39" showDropDown="0" showInputMessage="0" showErrorMessage="0" allowBlank="1" type="list">
      <formula1>"J,N"</formula1>
    </dataValidation>
    <dataValidation sqref="S39" showDropDown="0" showInputMessage="0" showErrorMessage="0" allowBlank="1" type="list">
      <formula1>"J,N"</formula1>
    </dataValidation>
    <dataValidation sqref="C40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0" showDropDown="0" showInputMessage="0" showErrorMessage="0" allowBlank="1" type="list">
      <formula1>"J,N"</formula1>
    </dataValidation>
    <dataValidation sqref="G40" showDropDown="0" showInputMessage="0" showErrorMessage="0" allowBlank="1" type="list">
      <formula1>"J,N"</formula1>
    </dataValidation>
    <dataValidation sqref="H40" showDropDown="0" showInputMessage="0" showErrorMessage="0" allowBlank="1" type="list">
      <formula1>"J,N"</formula1>
    </dataValidation>
    <dataValidation sqref="I40" showDropDown="0" showInputMessage="0" showErrorMessage="0" allowBlank="1" type="list">
      <formula1>"J,N"</formula1>
    </dataValidation>
    <dataValidation sqref="J40" showDropDown="0" showInputMessage="0" showErrorMessage="0" allowBlank="1" type="list">
      <formula1>"J,N"</formula1>
    </dataValidation>
    <dataValidation sqref="K40" showDropDown="0" showInputMessage="0" showErrorMessage="0" allowBlank="1" type="list">
      <formula1>"J,N"</formula1>
    </dataValidation>
    <dataValidation sqref="L40" showDropDown="0" showInputMessage="0" showErrorMessage="0" allowBlank="1" type="list">
      <formula1>"J,N"</formula1>
    </dataValidation>
    <dataValidation sqref="M40" showDropDown="0" showInputMessage="0" showErrorMessage="0" allowBlank="1" type="list">
      <formula1>"J,N"</formula1>
    </dataValidation>
    <dataValidation sqref="N40" showDropDown="0" showInputMessage="0" showErrorMessage="0" allowBlank="1" type="list">
      <formula1>"J,N"</formula1>
    </dataValidation>
    <dataValidation sqref="O40" showDropDown="0" showInputMessage="0" showErrorMessage="0" allowBlank="1" type="list">
      <formula1>"J,N"</formula1>
    </dataValidation>
    <dataValidation sqref="P40" showDropDown="0" showInputMessage="0" showErrorMessage="0" allowBlank="1" type="list">
      <formula1>"J,N"</formula1>
    </dataValidation>
    <dataValidation sqref="Q40" showDropDown="0" showInputMessage="0" showErrorMessage="0" allowBlank="1" type="list">
      <formula1>"J,N"</formula1>
    </dataValidation>
    <dataValidation sqref="R40" showDropDown="0" showInputMessage="0" showErrorMessage="0" allowBlank="1" type="list">
      <formula1>"J,N"</formula1>
    </dataValidation>
    <dataValidation sqref="S40" showDropDown="0" showInputMessage="0" showErrorMessage="0" allowBlank="1" type="list">
      <formula1>"J,N"</formula1>
    </dataValidation>
    <dataValidation sqref="C41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1" showDropDown="0" showInputMessage="0" showErrorMessage="0" allowBlank="1" type="list">
      <formula1>"J,N"</formula1>
    </dataValidation>
    <dataValidation sqref="G41" showDropDown="0" showInputMessage="0" showErrorMessage="0" allowBlank="1" type="list">
      <formula1>"J,N"</formula1>
    </dataValidation>
    <dataValidation sqref="H41" showDropDown="0" showInputMessage="0" showErrorMessage="0" allowBlank="1" type="list">
      <formula1>"J,N"</formula1>
    </dataValidation>
    <dataValidation sqref="I41" showDropDown="0" showInputMessage="0" showErrorMessage="0" allowBlank="1" type="list">
      <formula1>"J,N"</formula1>
    </dataValidation>
    <dataValidation sqref="J41" showDropDown="0" showInputMessage="0" showErrorMessage="0" allowBlank="1" type="list">
      <formula1>"J,N"</formula1>
    </dataValidation>
    <dataValidation sqref="K41" showDropDown="0" showInputMessage="0" showErrorMessage="0" allowBlank="1" type="list">
      <formula1>"J,N"</formula1>
    </dataValidation>
    <dataValidation sqref="L41" showDropDown="0" showInputMessage="0" showErrorMessage="0" allowBlank="1" type="list">
      <formula1>"J,N"</formula1>
    </dataValidation>
    <dataValidation sqref="M41" showDropDown="0" showInputMessage="0" showErrorMessage="0" allowBlank="1" type="list">
      <formula1>"J,N"</formula1>
    </dataValidation>
    <dataValidation sqref="N41" showDropDown="0" showInputMessage="0" showErrorMessage="0" allowBlank="1" type="list">
      <formula1>"J,N"</formula1>
    </dataValidation>
    <dataValidation sqref="O41" showDropDown="0" showInputMessage="0" showErrorMessage="0" allowBlank="1" type="list">
      <formula1>"J,N"</formula1>
    </dataValidation>
    <dataValidation sqref="P41" showDropDown="0" showInputMessage="0" showErrorMessage="0" allowBlank="1" type="list">
      <formula1>"J,N"</formula1>
    </dataValidation>
    <dataValidation sqref="Q41" showDropDown="0" showInputMessage="0" showErrorMessage="0" allowBlank="1" type="list">
      <formula1>"J,N"</formula1>
    </dataValidation>
    <dataValidation sqref="R41" showDropDown="0" showInputMessage="0" showErrorMessage="0" allowBlank="1" type="list">
      <formula1>"J,N"</formula1>
    </dataValidation>
    <dataValidation sqref="S41" showDropDown="0" showInputMessage="0" showErrorMessage="0" allowBlank="1" type="list">
      <formula1>"J,N"</formula1>
    </dataValidation>
    <dataValidation sqref="C42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2" showDropDown="0" showInputMessage="0" showErrorMessage="0" allowBlank="1" type="list">
      <formula1>"J,N"</formula1>
    </dataValidation>
    <dataValidation sqref="G42" showDropDown="0" showInputMessage="0" showErrorMessage="0" allowBlank="1" type="list">
      <formula1>"J,N"</formula1>
    </dataValidation>
    <dataValidation sqref="H42" showDropDown="0" showInputMessage="0" showErrorMessage="0" allowBlank="1" type="list">
      <formula1>"J,N"</formula1>
    </dataValidation>
    <dataValidation sqref="I42" showDropDown="0" showInputMessage="0" showErrorMessage="0" allowBlank="1" type="list">
      <formula1>"J,N"</formula1>
    </dataValidation>
    <dataValidation sqref="J42" showDropDown="0" showInputMessage="0" showErrorMessage="0" allowBlank="1" type="list">
      <formula1>"J,N"</formula1>
    </dataValidation>
    <dataValidation sqref="K42" showDropDown="0" showInputMessage="0" showErrorMessage="0" allowBlank="1" type="list">
      <formula1>"J,N"</formula1>
    </dataValidation>
    <dataValidation sqref="L42" showDropDown="0" showInputMessage="0" showErrorMessage="0" allowBlank="1" type="list">
      <formula1>"J,N"</formula1>
    </dataValidation>
    <dataValidation sqref="M42" showDropDown="0" showInputMessage="0" showErrorMessage="0" allowBlank="1" type="list">
      <formula1>"J,N"</formula1>
    </dataValidation>
    <dataValidation sqref="N42" showDropDown="0" showInputMessage="0" showErrorMessage="0" allowBlank="1" type="list">
      <formula1>"J,N"</formula1>
    </dataValidation>
    <dataValidation sqref="O42" showDropDown="0" showInputMessage="0" showErrorMessage="0" allowBlank="1" type="list">
      <formula1>"J,N"</formula1>
    </dataValidation>
    <dataValidation sqref="P42" showDropDown="0" showInputMessage="0" showErrorMessage="0" allowBlank="1" type="list">
      <formula1>"J,N"</formula1>
    </dataValidation>
    <dataValidation sqref="Q42" showDropDown="0" showInputMessage="0" showErrorMessage="0" allowBlank="1" type="list">
      <formula1>"J,N"</formula1>
    </dataValidation>
    <dataValidation sqref="R42" showDropDown="0" showInputMessage="0" showErrorMessage="0" allowBlank="1" type="list">
      <formula1>"J,N"</formula1>
    </dataValidation>
    <dataValidation sqref="S42" showDropDown="0" showInputMessage="0" showErrorMessage="0" allowBlank="1" type="list">
      <formula1>"J,N"</formula1>
    </dataValidation>
    <dataValidation sqref="C43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3" showDropDown="0" showInputMessage="0" showErrorMessage="0" allowBlank="1" type="list">
      <formula1>"J,N"</formula1>
    </dataValidation>
    <dataValidation sqref="G43" showDropDown="0" showInputMessage="0" showErrorMessage="0" allowBlank="1" type="list">
      <formula1>"J,N"</formula1>
    </dataValidation>
    <dataValidation sqref="H43" showDropDown="0" showInputMessage="0" showErrorMessage="0" allowBlank="1" type="list">
      <formula1>"J,N"</formula1>
    </dataValidation>
    <dataValidation sqref="I43" showDropDown="0" showInputMessage="0" showErrorMessage="0" allowBlank="1" type="list">
      <formula1>"J,N"</formula1>
    </dataValidation>
    <dataValidation sqref="J43" showDropDown="0" showInputMessage="0" showErrorMessage="0" allowBlank="1" type="list">
      <formula1>"J,N"</formula1>
    </dataValidation>
    <dataValidation sqref="K43" showDropDown="0" showInputMessage="0" showErrorMessage="0" allowBlank="1" type="list">
      <formula1>"J,N"</formula1>
    </dataValidation>
    <dataValidation sqref="L43" showDropDown="0" showInputMessage="0" showErrorMessage="0" allowBlank="1" type="list">
      <formula1>"J,N"</formula1>
    </dataValidation>
    <dataValidation sqref="M43" showDropDown="0" showInputMessage="0" showErrorMessage="0" allowBlank="1" type="list">
      <formula1>"J,N"</formula1>
    </dataValidation>
    <dataValidation sqref="N43" showDropDown="0" showInputMessage="0" showErrorMessage="0" allowBlank="1" type="list">
      <formula1>"J,N"</formula1>
    </dataValidation>
    <dataValidation sqref="O43" showDropDown="0" showInputMessage="0" showErrorMessage="0" allowBlank="1" type="list">
      <formula1>"J,N"</formula1>
    </dataValidation>
    <dataValidation sqref="P43" showDropDown="0" showInputMessage="0" showErrorMessage="0" allowBlank="1" type="list">
      <formula1>"J,N"</formula1>
    </dataValidation>
    <dataValidation sqref="Q43" showDropDown="0" showInputMessage="0" showErrorMessage="0" allowBlank="1" type="list">
      <formula1>"J,N"</formula1>
    </dataValidation>
    <dataValidation sqref="R43" showDropDown="0" showInputMessage="0" showErrorMessage="0" allowBlank="1" type="list">
      <formula1>"J,N"</formula1>
    </dataValidation>
    <dataValidation sqref="S43" showDropDown="0" showInputMessage="0" showErrorMessage="0" allowBlank="1" type="list">
      <formula1>"J,N"</formula1>
    </dataValidation>
    <dataValidation sqref="C44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4" showDropDown="0" showInputMessage="0" showErrorMessage="0" allowBlank="1" type="list">
      <formula1>"J,N"</formula1>
    </dataValidation>
    <dataValidation sqref="G44" showDropDown="0" showInputMessage="0" showErrorMessage="0" allowBlank="1" type="list">
      <formula1>"J,N"</formula1>
    </dataValidation>
    <dataValidation sqref="H44" showDropDown="0" showInputMessage="0" showErrorMessage="0" allowBlank="1" type="list">
      <formula1>"J,N"</formula1>
    </dataValidation>
    <dataValidation sqref="I44" showDropDown="0" showInputMessage="0" showErrorMessage="0" allowBlank="1" type="list">
      <formula1>"J,N"</formula1>
    </dataValidation>
    <dataValidation sqref="J44" showDropDown="0" showInputMessage="0" showErrorMessage="0" allowBlank="1" type="list">
      <formula1>"J,N"</formula1>
    </dataValidation>
    <dataValidation sqref="K44" showDropDown="0" showInputMessage="0" showErrorMessage="0" allowBlank="1" type="list">
      <formula1>"J,N"</formula1>
    </dataValidation>
    <dataValidation sqref="L44" showDropDown="0" showInputMessage="0" showErrorMessage="0" allowBlank="1" type="list">
      <formula1>"J,N"</formula1>
    </dataValidation>
    <dataValidation sqref="M44" showDropDown="0" showInputMessage="0" showErrorMessage="0" allowBlank="1" type="list">
      <formula1>"J,N"</formula1>
    </dataValidation>
    <dataValidation sqref="N44" showDropDown="0" showInputMessage="0" showErrorMessage="0" allowBlank="1" type="list">
      <formula1>"J,N"</formula1>
    </dataValidation>
    <dataValidation sqref="O44" showDropDown="0" showInputMessage="0" showErrorMessage="0" allowBlank="1" type="list">
      <formula1>"J,N"</formula1>
    </dataValidation>
    <dataValidation sqref="P44" showDropDown="0" showInputMessage="0" showErrorMessage="0" allowBlank="1" type="list">
      <formula1>"J,N"</formula1>
    </dataValidation>
    <dataValidation sqref="Q44" showDropDown="0" showInputMessage="0" showErrorMessage="0" allowBlank="1" type="list">
      <formula1>"J,N"</formula1>
    </dataValidation>
    <dataValidation sqref="R44" showDropDown="0" showInputMessage="0" showErrorMessage="0" allowBlank="1" type="list">
      <formula1>"J,N"</formula1>
    </dataValidation>
    <dataValidation sqref="S44" showDropDown="0" showInputMessage="0" showErrorMessage="0" allowBlank="1" type="list">
      <formula1>"J,N"</formula1>
    </dataValidation>
    <dataValidation sqref="C45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5" showDropDown="0" showInputMessage="0" showErrorMessage="0" allowBlank="1" type="list">
      <formula1>"J,N"</formula1>
    </dataValidation>
    <dataValidation sqref="G45" showDropDown="0" showInputMessage="0" showErrorMessage="0" allowBlank="1" type="list">
      <formula1>"J,N"</formula1>
    </dataValidation>
    <dataValidation sqref="H45" showDropDown="0" showInputMessage="0" showErrorMessage="0" allowBlank="1" type="list">
      <formula1>"J,N"</formula1>
    </dataValidation>
    <dataValidation sqref="I45" showDropDown="0" showInputMessage="0" showErrorMessage="0" allowBlank="1" type="list">
      <formula1>"J,N"</formula1>
    </dataValidation>
    <dataValidation sqref="J45" showDropDown="0" showInputMessage="0" showErrorMessage="0" allowBlank="1" type="list">
      <formula1>"J,N"</formula1>
    </dataValidation>
    <dataValidation sqref="K45" showDropDown="0" showInputMessage="0" showErrorMessage="0" allowBlank="1" type="list">
      <formula1>"J,N"</formula1>
    </dataValidation>
    <dataValidation sqref="L45" showDropDown="0" showInputMessage="0" showErrorMessage="0" allowBlank="1" type="list">
      <formula1>"J,N"</formula1>
    </dataValidation>
    <dataValidation sqref="M45" showDropDown="0" showInputMessage="0" showErrorMessage="0" allowBlank="1" type="list">
      <formula1>"J,N"</formula1>
    </dataValidation>
    <dataValidation sqref="N45" showDropDown="0" showInputMessage="0" showErrorMessage="0" allowBlank="1" type="list">
      <formula1>"J,N"</formula1>
    </dataValidation>
    <dataValidation sqref="O45" showDropDown="0" showInputMessage="0" showErrorMessage="0" allowBlank="1" type="list">
      <formula1>"J,N"</formula1>
    </dataValidation>
    <dataValidation sqref="P45" showDropDown="0" showInputMessage="0" showErrorMessage="0" allowBlank="1" type="list">
      <formula1>"J,N"</formula1>
    </dataValidation>
    <dataValidation sqref="Q45" showDropDown="0" showInputMessage="0" showErrorMessage="0" allowBlank="1" type="list">
      <formula1>"J,N"</formula1>
    </dataValidation>
    <dataValidation sqref="R45" showDropDown="0" showInputMessage="0" showErrorMessage="0" allowBlank="1" type="list">
      <formula1>"J,N"</formula1>
    </dataValidation>
    <dataValidation sqref="S45" showDropDown="0" showInputMessage="0" showErrorMessage="0" allowBlank="1" type="list">
      <formula1>"J,N"</formula1>
    </dataValidation>
    <dataValidation sqref="C46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6" showDropDown="0" showInputMessage="0" showErrorMessage="0" allowBlank="1" type="list">
      <formula1>"J,N"</formula1>
    </dataValidation>
    <dataValidation sqref="G46" showDropDown="0" showInputMessage="0" showErrorMessage="0" allowBlank="1" type="list">
      <formula1>"J,N"</formula1>
    </dataValidation>
    <dataValidation sqref="H46" showDropDown="0" showInputMessage="0" showErrorMessage="0" allowBlank="1" type="list">
      <formula1>"J,N"</formula1>
    </dataValidation>
    <dataValidation sqref="I46" showDropDown="0" showInputMessage="0" showErrorMessage="0" allowBlank="1" type="list">
      <formula1>"J,N"</formula1>
    </dataValidation>
    <dataValidation sqref="J46" showDropDown="0" showInputMessage="0" showErrorMessage="0" allowBlank="1" type="list">
      <formula1>"J,N"</formula1>
    </dataValidation>
    <dataValidation sqref="K46" showDropDown="0" showInputMessage="0" showErrorMessage="0" allowBlank="1" type="list">
      <formula1>"J,N"</formula1>
    </dataValidation>
    <dataValidation sqref="L46" showDropDown="0" showInputMessage="0" showErrorMessage="0" allowBlank="1" type="list">
      <formula1>"J,N"</formula1>
    </dataValidation>
    <dataValidation sqref="M46" showDropDown="0" showInputMessage="0" showErrorMessage="0" allowBlank="1" type="list">
      <formula1>"J,N"</formula1>
    </dataValidation>
    <dataValidation sqref="N46" showDropDown="0" showInputMessage="0" showErrorMessage="0" allowBlank="1" type="list">
      <formula1>"J,N"</formula1>
    </dataValidation>
    <dataValidation sqref="O46" showDropDown="0" showInputMessage="0" showErrorMessage="0" allowBlank="1" type="list">
      <formula1>"J,N"</formula1>
    </dataValidation>
    <dataValidation sqref="P46" showDropDown="0" showInputMessage="0" showErrorMessage="0" allowBlank="1" type="list">
      <formula1>"J,N"</formula1>
    </dataValidation>
    <dataValidation sqref="Q46" showDropDown="0" showInputMessage="0" showErrorMessage="0" allowBlank="1" type="list">
      <formula1>"J,N"</formula1>
    </dataValidation>
    <dataValidation sqref="R46" showDropDown="0" showInputMessage="0" showErrorMessage="0" allowBlank="1" type="list">
      <formula1>"J,N"</formula1>
    </dataValidation>
    <dataValidation sqref="S46" showDropDown="0" showInputMessage="0" showErrorMessage="0" allowBlank="1" type="list">
      <formula1>"J,N"</formula1>
    </dataValidation>
    <dataValidation sqref="C47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7" showDropDown="0" showInputMessage="0" showErrorMessage="0" allowBlank="1" type="list">
      <formula1>"J,N"</formula1>
    </dataValidation>
    <dataValidation sqref="G47" showDropDown="0" showInputMessage="0" showErrorMessage="0" allowBlank="1" type="list">
      <formula1>"J,N"</formula1>
    </dataValidation>
    <dataValidation sqref="H47" showDropDown="0" showInputMessage="0" showErrorMessage="0" allowBlank="1" type="list">
      <formula1>"J,N"</formula1>
    </dataValidation>
    <dataValidation sqref="I47" showDropDown="0" showInputMessage="0" showErrorMessage="0" allowBlank="1" type="list">
      <formula1>"J,N"</formula1>
    </dataValidation>
    <dataValidation sqref="J47" showDropDown="0" showInputMessage="0" showErrorMessage="0" allowBlank="1" type="list">
      <formula1>"J,N"</formula1>
    </dataValidation>
    <dataValidation sqref="K47" showDropDown="0" showInputMessage="0" showErrorMessage="0" allowBlank="1" type="list">
      <formula1>"J,N"</formula1>
    </dataValidation>
    <dataValidation sqref="L47" showDropDown="0" showInputMessage="0" showErrorMessage="0" allowBlank="1" type="list">
      <formula1>"J,N"</formula1>
    </dataValidation>
    <dataValidation sqref="M47" showDropDown="0" showInputMessage="0" showErrorMessage="0" allowBlank="1" type="list">
      <formula1>"J,N"</formula1>
    </dataValidation>
    <dataValidation sqref="N47" showDropDown="0" showInputMessage="0" showErrorMessage="0" allowBlank="1" type="list">
      <formula1>"J,N"</formula1>
    </dataValidation>
    <dataValidation sqref="O47" showDropDown="0" showInputMessage="0" showErrorMessage="0" allowBlank="1" type="list">
      <formula1>"J,N"</formula1>
    </dataValidation>
    <dataValidation sqref="P47" showDropDown="0" showInputMessage="0" showErrorMessage="0" allowBlank="1" type="list">
      <formula1>"J,N"</formula1>
    </dataValidation>
    <dataValidation sqref="Q47" showDropDown="0" showInputMessage="0" showErrorMessage="0" allowBlank="1" type="list">
      <formula1>"J,N"</formula1>
    </dataValidation>
    <dataValidation sqref="R47" showDropDown="0" showInputMessage="0" showErrorMessage="0" allowBlank="1" type="list">
      <formula1>"J,N"</formula1>
    </dataValidation>
    <dataValidation sqref="S47" showDropDown="0" showInputMessage="0" showErrorMessage="0" allowBlank="1" type="list">
      <formula1>"J,N"</formula1>
    </dataValidation>
    <dataValidation sqref="C48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8" showDropDown="0" showInputMessage="0" showErrorMessage="0" allowBlank="1" type="list">
      <formula1>"J,N"</formula1>
    </dataValidation>
    <dataValidation sqref="G48" showDropDown="0" showInputMessage="0" showErrorMessage="0" allowBlank="1" type="list">
      <formula1>"J,N"</formula1>
    </dataValidation>
    <dataValidation sqref="H48" showDropDown="0" showInputMessage="0" showErrorMessage="0" allowBlank="1" type="list">
      <formula1>"J,N"</formula1>
    </dataValidation>
    <dataValidation sqref="I48" showDropDown="0" showInputMessage="0" showErrorMessage="0" allowBlank="1" type="list">
      <formula1>"J,N"</formula1>
    </dataValidation>
    <dataValidation sqref="J48" showDropDown="0" showInputMessage="0" showErrorMessage="0" allowBlank="1" type="list">
      <formula1>"J,N"</formula1>
    </dataValidation>
    <dataValidation sqref="K48" showDropDown="0" showInputMessage="0" showErrorMessage="0" allowBlank="1" type="list">
      <formula1>"J,N"</formula1>
    </dataValidation>
    <dataValidation sqref="L48" showDropDown="0" showInputMessage="0" showErrorMessage="0" allowBlank="1" type="list">
      <formula1>"J,N"</formula1>
    </dataValidation>
    <dataValidation sqref="M48" showDropDown="0" showInputMessage="0" showErrorMessage="0" allowBlank="1" type="list">
      <formula1>"J,N"</formula1>
    </dataValidation>
    <dataValidation sqref="N48" showDropDown="0" showInputMessage="0" showErrorMessage="0" allowBlank="1" type="list">
      <formula1>"J,N"</formula1>
    </dataValidation>
    <dataValidation sqref="O48" showDropDown="0" showInputMessage="0" showErrorMessage="0" allowBlank="1" type="list">
      <formula1>"J,N"</formula1>
    </dataValidation>
    <dataValidation sqref="P48" showDropDown="0" showInputMessage="0" showErrorMessage="0" allowBlank="1" type="list">
      <formula1>"J,N"</formula1>
    </dataValidation>
    <dataValidation sqref="Q48" showDropDown="0" showInputMessage="0" showErrorMessage="0" allowBlank="1" type="list">
      <formula1>"J,N"</formula1>
    </dataValidation>
    <dataValidation sqref="R48" showDropDown="0" showInputMessage="0" showErrorMessage="0" allowBlank="1" type="list">
      <formula1>"J,N"</formula1>
    </dataValidation>
    <dataValidation sqref="S48" showDropDown="0" showInputMessage="0" showErrorMessage="0" allowBlank="1" type="list">
      <formula1>"J,N"</formula1>
    </dataValidation>
    <dataValidation sqref="C49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49" showDropDown="0" showInputMessage="0" showErrorMessage="0" allowBlank="1" type="list">
      <formula1>"J,N"</formula1>
    </dataValidation>
    <dataValidation sqref="G49" showDropDown="0" showInputMessage="0" showErrorMessage="0" allowBlank="1" type="list">
      <formula1>"J,N"</formula1>
    </dataValidation>
    <dataValidation sqref="H49" showDropDown="0" showInputMessage="0" showErrorMessage="0" allowBlank="1" type="list">
      <formula1>"J,N"</formula1>
    </dataValidation>
    <dataValidation sqref="I49" showDropDown="0" showInputMessage="0" showErrorMessage="0" allowBlank="1" type="list">
      <formula1>"J,N"</formula1>
    </dataValidation>
    <dataValidation sqref="J49" showDropDown="0" showInputMessage="0" showErrorMessage="0" allowBlank="1" type="list">
      <formula1>"J,N"</formula1>
    </dataValidation>
    <dataValidation sqref="K49" showDropDown="0" showInputMessage="0" showErrorMessage="0" allowBlank="1" type="list">
      <formula1>"J,N"</formula1>
    </dataValidation>
    <dataValidation sqref="L49" showDropDown="0" showInputMessage="0" showErrorMessage="0" allowBlank="1" type="list">
      <formula1>"J,N"</formula1>
    </dataValidation>
    <dataValidation sqref="M49" showDropDown="0" showInputMessage="0" showErrorMessage="0" allowBlank="1" type="list">
      <formula1>"J,N"</formula1>
    </dataValidation>
    <dataValidation sqref="N49" showDropDown="0" showInputMessage="0" showErrorMessage="0" allowBlank="1" type="list">
      <formula1>"J,N"</formula1>
    </dataValidation>
    <dataValidation sqref="O49" showDropDown="0" showInputMessage="0" showErrorMessage="0" allowBlank="1" type="list">
      <formula1>"J,N"</formula1>
    </dataValidation>
    <dataValidation sqref="P49" showDropDown="0" showInputMessage="0" showErrorMessage="0" allowBlank="1" type="list">
      <formula1>"J,N"</formula1>
    </dataValidation>
    <dataValidation sqref="Q49" showDropDown="0" showInputMessage="0" showErrorMessage="0" allowBlank="1" type="list">
      <formula1>"J,N"</formula1>
    </dataValidation>
    <dataValidation sqref="R49" showDropDown="0" showInputMessage="0" showErrorMessage="0" allowBlank="1" type="list">
      <formula1>"J,N"</formula1>
    </dataValidation>
    <dataValidation sqref="S49" showDropDown="0" showInputMessage="0" showErrorMessage="0" allowBlank="1" type="list">
      <formula1>"J,N"</formula1>
    </dataValidation>
    <dataValidation sqref="C50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50" showDropDown="0" showInputMessage="0" showErrorMessage="0" allowBlank="1" type="list">
      <formula1>"J,N"</formula1>
    </dataValidation>
    <dataValidation sqref="G50" showDropDown="0" showInputMessage="0" showErrorMessage="0" allowBlank="1" type="list">
      <formula1>"J,N"</formula1>
    </dataValidation>
    <dataValidation sqref="H50" showDropDown="0" showInputMessage="0" showErrorMessage="0" allowBlank="1" type="list">
      <formula1>"J,N"</formula1>
    </dataValidation>
    <dataValidation sqref="I50" showDropDown="0" showInputMessage="0" showErrorMessage="0" allowBlank="1" type="list">
      <formula1>"J,N"</formula1>
    </dataValidation>
    <dataValidation sqref="J50" showDropDown="0" showInputMessage="0" showErrorMessage="0" allowBlank="1" type="list">
      <formula1>"J,N"</formula1>
    </dataValidation>
    <dataValidation sqref="K50" showDropDown="0" showInputMessage="0" showErrorMessage="0" allowBlank="1" type="list">
      <formula1>"J,N"</formula1>
    </dataValidation>
    <dataValidation sqref="L50" showDropDown="0" showInputMessage="0" showErrorMessage="0" allowBlank="1" type="list">
      <formula1>"J,N"</formula1>
    </dataValidation>
    <dataValidation sqref="M50" showDropDown="0" showInputMessage="0" showErrorMessage="0" allowBlank="1" type="list">
      <formula1>"J,N"</formula1>
    </dataValidation>
    <dataValidation sqref="N50" showDropDown="0" showInputMessage="0" showErrorMessage="0" allowBlank="1" type="list">
      <formula1>"J,N"</formula1>
    </dataValidation>
    <dataValidation sqref="O50" showDropDown="0" showInputMessage="0" showErrorMessage="0" allowBlank="1" type="list">
      <formula1>"J,N"</formula1>
    </dataValidation>
    <dataValidation sqref="P50" showDropDown="0" showInputMessage="0" showErrorMessage="0" allowBlank="1" type="list">
      <formula1>"J,N"</formula1>
    </dataValidation>
    <dataValidation sqref="Q50" showDropDown="0" showInputMessage="0" showErrorMessage="0" allowBlank="1" type="list">
      <formula1>"J,N"</formula1>
    </dataValidation>
    <dataValidation sqref="R50" showDropDown="0" showInputMessage="0" showErrorMessage="0" allowBlank="1" type="list">
      <formula1>"J,N"</formula1>
    </dataValidation>
    <dataValidation sqref="S50" showDropDown="0" showInputMessage="0" showErrorMessage="0" allowBlank="1" type="list">
      <formula1>"J,N"</formula1>
    </dataValidation>
    <dataValidation sqref="C51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51" showDropDown="0" showInputMessage="0" showErrorMessage="0" allowBlank="1" type="list">
      <formula1>"J,N"</formula1>
    </dataValidation>
    <dataValidation sqref="G51" showDropDown="0" showInputMessage="0" showErrorMessage="0" allowBlank="1" type="list">
      <formula1>"J,N"</formula1>
    </dataValidation>
    <dataValidation sqref="H51" showDropDown="0" showInputMessage="0" showErrorMessage="0" allowBlank="1" type="list">
      <formula1>"J,N"</formula1>
    </dataValidation>
    <dataValidation sqref="I51" showDropDown="0" showInputMessage="0" showErrorMessage="0" allowBlank="1" type="list">
      <formula1>"J,N"</formula1>
    </dataValidation>
    <dataValidation sqref="J51" showDropDown="0" showInputMessage="0" showErrorMessage="0" allowBlank="1" type="list">
      <formula1>"J,N"</formula1>
    </dataValidation>
    <dataValidation sqref="K51" showDropDown="0" showInputMessage="0" showErrorMessage="0" allowBlank="1" type="list">
      <formula1>"J,N"</formula1>
    </dataValidation>
    <dataValidation sqref="L51" showDropDown="0" showInputMessage="0" showErrorMessage="0" allowBlank="1" type="list">
      <formula1>"J,N"</formula1>
    </dataValidation>
    <dataValidation sqref="M51" showDropDown="0" showInputMessage="0" showErrorMessage="0" allowBlank="1" type="list">
      <formula1>"J,N"</formula1>
    </dataValidation>
    <dataValidation sqref="N51" showDropDown="0" showInputMessage="0" showErrorMessage="0" allowBlank="1" type="list">
      <formula1>"J,N"</formula1>
    </dataValidation>
    <dataValidation sqref="O51" showDropDown="0" showInputMessage="0" showErrorMessage="0" allowBlank="1" type="list">
      <formula1>"J,N"</formula1>
    </dataValidation>
    <dataValidation sqref="P51" showDropDown="0" showInputMessage="0" showErrorMessage="0" allowBlank="1" type="list">
      <formula1>"J,N"</formula1>
    </dataValidation>
    <dataValidation sqref="Q51" showDropDown="0" showInputMessage="0" showErrorMessage="0" allowBlank="1" type="list">
      <formula1>"J,N"</formula1>
    </dataValidation>
    <dataValidation sqref="R51" showDropDown="0" showInputMessage="0" showErrorMessage="0" allowBlank="1" type="list">
      <formula1>"J,N"</formula1>
    </dataValidation>
    <dataValidation sqref="S51" showDropDown="0" showInputMessage="0" showErrorMessage="0" allowBlank="1" type="list">
      <formula1>"J,N"</formula1>
    </dataValidation>
    <dataValidation sqref="C52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52" showDropDown="0" showInputMessage="0" showErrorMessage="0" allowBlank="1" type="list">
      <formula1>"J,N"</formula1>
    </dataValidation>
    <dataValidation sqref="G52" showDropDown="0" showInputMessage="0" showErrorMessage="0" allowBlank="1" type="list">
      <formula1>"J,N"</formula1>
    </dataValidation>
    <dataValidation sqref="H52" showDropDown="0" showInputMessage="0" showErrorMessage="0" allowBlank="1" type="list">
      <formula1>"J,N"</formula1>
    </dataValidation>
    <dataValidation sqref="I52" showDropDown="0" showInputMessage="0" showErrorMessage="0" allowBlank="1" type="list">
      <formula1>"J,N"</formula1>
    </dataValidation>
    <dataValidation sqref="J52" showDropDown="0" showInputMessage="0" showErrorMessage="0" allowBlank="1" type="list">
      <formula1>"J,N"</formula1>
    </dataValidation>
    <dataValidation sqref="K52" showDropDown="0" showInputMessage="0" showErrorMessage="0" allowBlank="1" type="list">
      <formula1>"J,N"</formula1>
    </dataValidation>
    <dataValidation sqref="L52" showDropDown="0" showInputMessage="0" showErrorMessage="0" allowBlank="1" type="list">
      <formula1>"J,N"</formula1>
    </dataValidation>
    <dataValidation sqref="M52" showDropDown="0" showInputMessage="0" showErrorMessage="0" allowBlank="1" type="list">
      <formula1>"J,N"</formula1>
    </dataValidation>
    <dataValidation sqref="N52" showDropDown="0" showInputMessage="0" showErrorMessage="0" allowBlank="1" type="list">
      <formula1>"J,N"</formula1>
    </dataValidation>
    <dataValidation sqref="O52" showDropDown="0" showInputMessage="0" showErrorMessage="0" allowBlank="1" type="list">
      <formula1>"J,N"</formula1>
    </dataValidation>
    <dataValidation sqref="P52" showDropDown="0" showInputMessage="0" showErrorMessage="0" allowBlank="1" type="list">
      <formula1>"J,N"</formula1>
    </dataValidation>
    <dataValidation sqref="Q52" showDropDown="0" showInputMessage="0" showErrorMessage="0" allowBlank="1" type="list">
      <formula1>"J,N"</formula1>
    </dataValidation>
    <dataValidation sqref="R52" showDropDown="0" showInputMessage="0" showErrorMessage="0" allowBlank="1" type="list">
      <formula1>"J,N"</formula1>
    </dataValidation>
    <dataValidation sqref="S52" showDropDown="0" showInputMessage="0" showErrorMessage="0" allowBlank="1" type="list">
      <formula1>"J,N"</formula1>
    </dataValidation>
    <dataValidation sqref="C53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53" showDropDown="0" showInputMessage="0" showErrorMessage="0" allowBlank="1" type="list">
      <formula1>"J,N"</formula1>
    </dataValidation>
    <dataValidation sqref="G53" showDropDown="0" showInputMessage="0" showErrorMessage="0" allowBlank="1" type="list">
      <formula1>"J,N"</formula1>
    </dataValidation>
    <dataValidation sqref="H53" showDropDown="0" showInputMessage="0" showErrorMessage="0" allowBlank="1" type="list">
      <formula1>"J,N"</formula1>
    </dataValidation>
    <dataValidation sqref="I53" showDropDown="0" showInputMessage="0" showErrorMessage="0" allowBlank="1" type="list">
      <formula1>"J,N"</formula1>
    </dataValidation>
    <dataValidation sqref="J53" showDropDown="0" showInputMessage="0" showErrorMessage="0" allowBlank="1" type="list">
      <formula1>"J,N"</formula1>
    </dataValidation>
    <dataValidation sqref="K53" showDropDown="0" showInputMessage="0" showErrorMessage="0" allowBlank="1" type="list">
      <formula1>"J,N"</formula1>
    </dataValidation>
    <dataValidation sqref="L53" showDropDown="0" showInputMessage="0" showErrorMessage="0" allowBlank="1" type="list">
      <formula1>"J,N"</formula1>
    </dataValidation>
    <dataValidation sqref="M53" showDropDown="0" showInputMessage="0" showErrorMessage="0" allowBlank="1" type="list">
      <formula1>"J,N"</formula1>
    </dataValidation>
    <dataValidation sqref="N53" showDropDown="0" showInputMessage="0" showErrorMessage="0" allowBlank="1" type="list">
      <formula1>"J,N"</formula1>
    </dataValidation>
    <dataValidation sqref="O53" showDropDown="0" showInputMessage="0" showErrorMessage="0" allowBlank="1" type="list">
      <formula1>"J,N"</formula1>
    </dataValidation>
    <dataValidation sqref="P53" showDropDown="0" showInputMessage="0" showErrorMessage="0" allowBlank="1" type="list">
      <formula1>"J,N"</formula1>
    </dataValidation>
    <dataValidation sqref="Q53" showDropDown="0" showInputMessage="0" showErrorMessage="0" allowBlank="1" type="list">
      <formula1>"J,N"</formula1>
    </dataValidation>
    <dataValidation sqref="R53" showDropDown="0" showInputMessage="0" showErrorMessage="0" allowBlank="1" type="list">
      <formula1>"J,N"</formula1>
    </dataValidation>
    <dataValidation sqref="S53" showDropDown="0" showInputMessage="0" showErrorMessage="0" allowBlank="1" type="list">
      <formula1>"J,N"</formula1>
    </dataValidation>
    <dataValidation sqref="C54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54" showDropDown="0" showInputMessage="0" showErrorMessage="0" allowBlank="1" type="list">
      <formula1>"J,N"</formula1>
    </dataValidation>
    <dataValidation sqref="G54" showDropDown="0" showInputMessage="0" showErrorMessage="0" allowBlank="1" type="list">
      <formula1>"J,N"</formula1>
    </dataValidation>
    <dataValidation sqref="H54" showDropDown="0" showInputMessage="0" showErrorMessage="0" allowBlank="1" type="list">
      <formula1>"J,N"</formula1>
    </dataValidation>
    <dataValidation sqref="I54" showDropDown="0" showInputMessage="0" showErrorMessage="0" allowBlank="1" type="list">
      <formula1>"J,N"</formula1>
    </dataValidation>
    <dataValidation sqref="J54" showDropDown="0" showInputMessage="0" showErrorMessage="0" allowBlank="1" type="list">
      <formula1>"J,N"</formula1>
    </dataValidation>
    <dataValidation sqref="K54" showDropDown="0" showInputMessage="0" showErrorMessage="0" allowBlank="1" type="list">
      <formula1>"J,N"</formula1>
    </dataValidation>
    <dataValidation sqref="L54" showDropDown="0" showInputMessage="0" showErrorMessage="0" allowBlank="1" type="list">
      <formula1>"J,N"</formula1>
    </dataValidation>
    <dataValidation sqref="M54" showDropDown="0" showInputMessage="0" showErrorMessage="0" allowBlank="1" type="list">
      <formula1>"J,N"</formula1>
    </dataValidation>
    <dataValidation sqref="N54" showDropDown="0" showInputMessage="0" showErrorMessage="0" allowBlank="1" type="list">
      <formula1>"J,N"</formula1>
    </dataValidation>
    <dataValidation sqref="O54" showDropDown="0" showInputMessage="0" showErrorMessage="0" allowBlank="1" type="list">
      <formula1>"J,N"</formula1>
    </dataValidation>
    <dataValidation sqref="P54" showDropDown="0" showInputMessage="0" showErrorMessage="0" allowBlank="1" type="list">
      <formula1>"J,N"</formula1>
    </dataValidation>
    <dataValidation sqref="Q54" showDropDown="0" showInputMessage="0" showErrorMessage="0" allowBlank="1" type="list">
      <formula1>"J,N"</formula1>
    </dataValidation>
    <dataValidation sqref="R54" showDropDown="0" showInputMessage="0" showErrorMessage="0" allowBlank="1" type="list">
      <formula1>"J,N"</formula1>
    </dataValidation>
    <dataValidation sqref="S54" showDropDown="0" showInputMessage="0" showErrorMessage="0" allowBlank="1" type="list">
      <formula1>"J,N"</formula1>
    </dataValidation>
    <dataValidation sqref="C55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55" showDropDown="0" showInputMessage="0" showErrorMessage="0" allowBlank="1" type="list">
      <formula1>"J,N"</formula1>
    </dataValidation>
    <dataValidation sqref="G55" showDropDown="0" showInputMessage="0" showErrorMessage="0" allowBlank="1" type="list">
      <formula1>"J,N"</formula1>
    </dataValidation>
    <dataValidation sqref="H55" showDropDown="0" showInputMessage="0" showErrorMessage="0" allowBlank="1" type="list">
      <formula1>"J,N"</formula1>
    </dataValidation>
    <dataValidation sqref="I55" showDropDown="0" showInputMessage="0" showErrorMessage="0" allowBlank="1" type="list">
      <formula1>"J,N"</formula1>
    </dataValidation>
    <dataValidation sqref="J55" showDropDown="0" showInputMessage="0" showErrorMessage="0" allowBlank="1" type="list">
      <formula1>"J,N"</formula1>
    </dataValidation>
    <dataValidation sqref="K55" showDropDown="0" showInputMessage="0" showErrorMessage="0" allowBlank="1" type="list">
      <formula1>"J,N"</formula1>
    </dataValidation>
    <dataValidation sqref="L55" showDropDown="0" showInputMessage="0" showErrorMessage="0" allowBlank="1" type="list">
      <formula1>"J,N"</formula1>
    </dataValidation>
    <dataValidation sqref="M55" showDropDown="0" showInputMessage="0" showErrorMessage="0" allowBlank="1" type="list">
      <formula1>"J,N"</formula1>
    </dataValidation>
    <dataValidation sqref="N55" showDropDown="0" showInputMessage="0" showErrorMessage="0" allowBlank="1" type="list">
      <formula1>"J,N"</formula1>
    </dataValidation>
    <dataValidation sqref="O55" showDropDown="0" showInputMessage="0" showErrorMessage="0" allowBlank="1" type="list">
      <formula1>"J,N"</formula1>
    </dataValidation>
    <dataValidation sqref="P55" showDropDown="0" showInputMessage="0" showErrorMessage="0" allowBlank="1" type="list">
      <formula1>"J,N"</formula1>
    </dataValidation>
    <dataValidation sqref="Q55" showDropDown="0" showInputMessage="0" showErrorMessage="0" allowBlank="1" type="list">
      <formula1>"J,N"</formula1>
    </dataValidation>
    <dataValidation sqref="R55" showDropDown="0" showInputMessage="0" showErrorMessage="0" allowBlank="1" type="list">
      <formula1>"J,N"</formula1>
    </dataValidation>
    <dataValidation sqref="S55" showDropDown="0" showInputMessage="0" showErrorMessage="0" allowBlank="1" type="list">
      <formula1>"J,N"</formula1>
    </dataValidation>
    <dataValidation sqref="C56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56" showDropDown="0" showInputMessage="0" showErrorMessage="0" allowBlank="1" type="list">
      <formula1>"J,N"</formula1>
    </dataValidation>
    <dataValidation sqref="G56" showDropDown="0" showInputMessage="0" showErrorMessage="0" allowBlank="1" type="list">
      <formula1>"J,N"</formula1>
    </dataValidation>
    <dataValidation sqref="H56" showDropDown="0" showInputMessage="0" showErrorMessage="0" allowBlank="1" type="list">
      <formula1>"J,N"</formula1>
    </dataValidation>
    <dataValidation sqref="I56" showDropDown="0" showInputMessage="0" showErrorMessage="0" allowBlank="1" type="list">
      <formula1>"J,N"</formula1>
    </dataValidation>
    <dataValidation sqref="J56" showDropDown="0" showInputMessage="0" showErrorMessage="0" allowBlank="1" type="list">
      <formula1>"J,N"</formula1>
    </dataValidation>
    <dataValidation sqref="K56" showDropDown="0" showInputMessage="0" showErrorMessage="0" allowBlank="1" type="list">
      <formula1>"J,N"</formula1>
    </dataValidation>
    <dataValidation sqref="L56" showDropDown="0" showInputMessage="0" showErrorMessage="0" allowBlank="1" type="list">
      <formula1>"J,N"</formula1>
    </dataValidation>
    <dataValidation sqref="M56" showDropDown="0" showInputMessage="0" showErrorMessage="0" allowBlank="1" type="list">
      <formula1>"J,N"</formula1>
    </dataValidation>
    <dataValidation sqref="N56" showDropDown="0" showInputMessage="0" showErrorMessage="0" allowBlank="1" type="list">
      <formula1>"J,N"</formula1>
    </dataValidation>
    <dataValidation sqref="O56" showDropDown="0" showInputMessage="0" showErrorMessage="0" allowBlank="1" type="list">
      <formula1>"J,N"</formula1>
    </dataValidation>
    <dataValidation sqref="P56" showDropDown="0" showInputMessage="0" showErrorMessage="0" allowBlank="1" type="list">
      <formula1>"J,N"</formula1>
    </dataValidation>
    <dataValidation sqref="Q56" showDropDown="0" showInputMessage="0" showErrorMessage="0" allowBlank="1" type="list">
      <formula1>"J,N"</formula1>
    </dataValidation>
    <dataValidation sqref="R56" showDropDown="0" showInputMessage="0" showErrorMessage="0" allowBlank="1" type="list">
      <formula1>"J,N"</formula1>
    </dataValidation>
    <dataValidation sqref="S56" showDropDown="0" showInputMessage="0" showErrorMessage="0" allowBlank="1" type="list">
      <formula1>"J,N"</formula1>
    </dataValidation>
    <dataValidation sqref="C57" showDropDown="0" showInputMessage="0" showErrorMessage="0" allowBlank="1" type="list">
      <formula1>"Privévertrek,Keuken,Badruimte,Toiletruimte,Berging,Bijkeuken,Wasruimte,Overige ruimte,Verkeersruimte,Buitenruimte privé,Buitenruimte gemeenschappelijk"</formula1>
    </dataValidation>
    <dataValidation sqref="F57" showDropDown="0" showInputMessage="0" showErrorMessage="0" allowBlank="1" type="list">
      <formula1>"J,N"</formula1>
    </dataValidation>
    <dataValidation sqref="G57" showDropDown="0" showInputMessage="0" showErrorMessage="0" allowBlank="1" type="list">
      <formula1>"J,N"</formula1>
    </dataValidation>
    <dataValidation sqref="H57" showDropDown="0" showInputMessage="0" showErrorMessage="0" allowBlank="1" type="list">
      <formula1>"J,N"</formula1>
    </dataValidation>
    <dataValidation sqref="I57" showDropDown="0" showInputMessage="0" showErrorMessage="0" allowBlank="1" type="list">
      <formula1>"J,N"</formula1>
    </dataValidation>
    <dataValidation sqref="J57" showDropDown="0" showInputMessage="0" showErrorMessage="0" allowBlank="1" type="list">
      <formula1>"J,N"</formula1>
    </dataValidation>
    <dataValidation sqref="K57" showDropDown="0" showInputMessage="0" showErrorMessage="0" allowBlank="1" type="list">
      <formula1>"J,N"</formula1>
    </dataValidation>
    <dataValidation sqref="L57" showDropDown="0" showInputMessage="0" showErrorMessage="0" allowBlank="1" type="list">
      <formula1>"J,N"</formula1>
    </dataValidation>
    <dataValidation sqref="M57" showDropDown="0" showInputMessage="0" showErrorMessage="0" allowBlank="1" type="list">
      <formula1>"J,N"</formula1>
    </dataValidation>
    <dataValidation sqref="N57" showDropDown="0" showInputMessage="0" showErrorMessage="0" allowBlank="1" type="list">
      <formula1>"J,N"</formula1>
    </dataValidation>
    <dataValidation sqref="O57" showDropDown="0" showInputMessage="0" showErrorMessage="0" allowBlank="1" type="list">
      <formula1>"J,N"</formula1>
    </dataValidation>
    <dataValidation sqref="P57" showDropDown="0" showInputMessage="0" showErrorMessage="0" allowBlank="1" type="list">
      <formula1>"J,N"</formula1>
    </dataValidation>
    <dataValidation sqref="Q57" showDropDown="0" showInputMessage="0" showErrorMessage="0" allowBlank="1" type="list">
      <formula1>"J,N"</formula1>
    </dataValidation>
    <dataValidation sqref="R57" showDropDown="0" showInputMessage="0" showErrorMessage="0" allowBlank="1" type="list">
      <formula1>"J,N"</formula1>
    </dataValidation>
    <dataValidation sqref="S57" showDropDown="0" showInputMessage="0" showErrorMessage="0" allowBlank="1" type="list">
      <formula1>"J,N"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1" t="inlineStr">
        <is>
          <t>WWSO — VOORZIENINGEN (per 1 januari 2026)</t>
        </is>
      </c>
    </row>
    <row r="3">
      <c r="A3" s="12" t="inlineStr">
        <is>
          <t>Keuken 1</t>
        </is>
      </c>
    </row>
    <row r="4">
      <c r="A4" s="5" t="inlineStr">
        <is>
          <t>Ruimte-nr (1-40)</t>
        </is>
      </c>
      <c r="B4" s="9" t="n"/>
    </row>
    <row r="5">
      <c r="A5" s="5" t="inlineStr">
        <is>
          <t>Aanrechtlengte (m)</t>
        </is>
      </c>
      <c r="B5" s="8" t="n"/>
    </row>
    <row r="6">
      <c r="A6" t="inlineStr">
        <is>
          <t>Afzuiginstallatie</t>
        </is>
      </c>
      <c r="B6" s="4" t="n"/>
    </row>
    <row r="7">
      <c r="A7" t="inlineStr">
        <is>
          <t>Kookplaat inductie</t>
        </is>
      </c>
      <c r="B7" s="4" t="n"/>
    </row>
    <row r="8">
      <c r="A8" t="inlineStr">
        <is>
          <t>Kookplaat keramisch</t>
        </is>
      </c>
      <c r="B8" s="4" t="n"/>
    </row>
    <row r="9">
      <c r="A9" t="inlineStr">
        <is>
          <t>Kookplaat gas</t>
        </is>
      </c>
      <c r="B9" s="4" t="n"/>
    </row>
    <row r="10">
      <c r="A10" t="inlineStr">
        <is>
          <t>Koelkast</t>
        </is>
      </c>
      <c r="B10" s="4" t="n"/>
    </row>
    <row r="11">
      <c r="A11" t="inlineStr">
        <is>
          <t>Vrieskast</t>
        </is>
      </c>
      <c r="B11" s="4" t="n"/>
    </row>
    <row r="12">
      <c r="A12" t="inlineStr">
        <is>
          <t>Oven elektrisch</t>
        </is>
      </c>
      <c r="B12" s="4" t="n"/>
    </row>
    <row r="13">
      <c r="A13" t="inlineStr">
        <is>
          <t>Oven gas</t>
        </is>
      </c>
      <c r="B13" s="4" t="n"/>
    </row>
    <row r="14">
      <c r="A14" t="inlineStr">
        <is>
          <t>Magnetron</t>
        </is>
      </c>
      <c r="B14" s="4" t="n"/>
    </row>
    <row r="15">
      <c r="A15" t="inlineStr">
        <is>
          <t>Vaatwasmachine</t>
        </is>
      </c>
      <c r="B15" s="4" t="n"/>
    </row>
    <row r="16">
      <c r="A16" t="inlineStr">
        <is>
          <t>Extra kastruimte (60cm)</t>
        </is>
      </c>
      <c r="B16" s="4" t="n"/>
    </row>
    <row r="17">
      <c r="A17" t="inlineStr">
        <is>
          <t>Éénhandsmengkraan</t>
        </is>
      </c>
      <c r="B17" s="4" t="n"/>
    </row>
    <row r="18">
      <c r="A18" t="inlineStr">
        <is>
          <t>Thermostatische mengkraan</t>
        </is>
      </c>
      <c r="B18" s="4" t="n"/>
    </row>
    <row r="19">
      <c r="A19" t="inlineStr">
        <is>
          <t>Kokend-waterfunctie</t>
        </is>
      </c>
      <c r="B19" s="4" t="n"/>
    </row>
    <row r="20">
      <c r="A20" s="5" t="inlineStr">
        <is>
          <t>Basispunten aanrecht</t>
        </is>
      </c>
      <c r="B20" s="13">
        <f>IFERROR(INDEX(tbl_keuken_basis,MATCH(B5,tbl_keuken_grens,1)),0)</f>
        <v/>
      </c>
    </row>
    <row r="21">
      <c r="A21" s="5" t="inlineStr">
        <is>
          <t>Extra punten (raw)</t>
        </is>
      </c>
      <c r="B21" s="13">
        <f>IF(B6="J",0.75,0)+IF(B7="J",1.75,0)+IF(B8="J",1.0,0)+IF(B9="J",0.5,0)+IF(B10="J",1.0,0)+IF(B11="J",0.75,0)+IF(B12="J",1.0,0)+IF(B13="J",0.5,0)+IF(B14="J",1.0,0)+IF(B15="J",1.5,0)+IF(B16="J",0.75,0)+IF(B17="J",0.25,0)+IF(B18="J",0.5,0)+IF(B19="J",0.5,0)</f>
        <v/>
      </c>
    </row>
    <row r="22">
      <c r="A22" s="5" t="inlineStr">
        <is>
          <t>Extra gecapped</t>
        </is>
      </c>
      <c r="B22" s="13">
        <f>MIN(B21,B20)</f>
        <v/>
      </c>
    </row>
    <row r="23">
      <c r="A23" s="14" t="inlineStr">
        <is>
          <t>Totaal keuken punten</t>
        </is>
      </c>
      <c r="B23" s="15">
        <f>B20+B22</f>
        <v/>
      </c>
    </row>
    <row r="24">
      <c r="A24" s="5" t="inlineStr">
        <is>
          <t>n_kamers met toegang</t>
        </is>
      </c>
      <c r="B24" s="16">
        <f>IFERROR(INDEX(Invoer!$T$18:$T$57,B4),0)</f>
        <v/>
      </c>
    </row>
    <row r="25">
      <c r="A25" s="17" t="inlineStr">
        <is>
          <t>Per kamer</t>
        </is>
      </c>
      <c r="B25" s="15">
        <f>IFERROR(B23/IF(B24=0,1,B24),0)</f>
        <v/>
      </c>
    </row>
    <row r="26">
      <c r="A26" s="12" t="inlineStr">
        <is>
          <t>Keuken 2</t>
        </is>
      </c>
    </row>
    <row r="27">
      <c r="A27" s="5" t="inlineStr">
        <is>
          <t>Ruimte-nr (1-40)</t>
        </is>
      </c>
      <c r="B27" s="9" t="n"/>
    </row>
    <row r="28">
      <c r="A28" s="5" t="inlineStr">
        <is>
          <t>Aanrechtlengte (m)</t>
        </is>
      </c>
      <c r="B28" s="8" t="n"/>
    </row>
    <row r="29">
      <c r="A29" t="inlineStr">
        <is>
          <t>Afzuiginstallatie</t>
        </is>
      </c>
      <c r="B29" s="4" t="n"/>
    </row>
    <row r="30">
      <c r="A30" t="inlineStr">
        <is>
          <t>Kookplaat inductie</t>
        </is>
      </c>
      <c r="B30" s="4" t="n"/>
    </row>
    <row r="31">
      <c r="A31" t="inlineStr">
        <is>
          <t>Kookplaat keramisch</t>
        </is>
      </c>
      <c r="B31" s="4" t="n"/>
    </row>
    <row r="32">
      <c r="A32" t="inlineStr">
        <is>
          <t>Kookplaat gas</t>
        </is>
      </c>
      <c r="B32" s="4" t="n"/>
    </row>
    <row r="33">
      <c r="A33" t="inlineStr">
        <is>
          <t>Koelkast</t>
        </is>
      </c>
      <c r="B33" s="4" t="n"/>
    </row>
    <row r="34">
      <c r="A34" t="inlineStr">
        <is>
          <t>Vrieskast</t>
        </is>
      </c>
      <c r="B34" s="4" t="n"/>
    </row>
    <row r="35">
      <c r="A35" t="inlineStr">
        <is>
          <t>Oven elektrisch</t>
        </is>
      </c>
      <c r="B35" s="4" t="n"/>
    </row>
    <row r="36">
      <c r="A36" t="inlineStr">
        <is>
          <t>Oven gas</t>
        </is>
      </c>
      <c r="B36" s="4" t="n"/>
    </row>
    <row r="37">
      <c r="A37" t="inlineStr">
        <is>
          <t>Magnetron</t>
        </is>
      </c>
      <c r="B37" s="4" t="n"/>
    </row>
    <row r="38">
      <c r="A38" t="inlineStr">
        <is>
          <t>Vaatwasmachine</t>
        </is>
      </c>
      <c r="B38" s="4" t="n"/>
    </row>
    <row r="39">
      <c r="A39" t="inlineStr">
        <is>
          <t>Extra kastruimte (60cm)</t>
        </is>
      </c>
      <c r="B39" s="4" t="n"/>
    </row>
    <row r="40">
      <c r="A40" t="inlineStr">
        <is>
          <t>Éénhandsmengkraan</t>
        </is>
      </c>
      <c r="B40" s="4" t="n"/>
    </row>
    <row r="41">
      <c r="A41" t="inlineStr">
        <is>
          <t>Thermostatische mengkraan</t>
        </is>
      </c>
      <c r="B41" s="4" t="n"/>
    </row>
    <row r="42">
      <c r="A42" t="inlineStr">
        <is>
          <t>Kokend-waterfunctie</t>
        </is>
      </c>
      <c r="B42" s="4" t="n"/>
    </row>
    <row r="43">
      <c r="A43" s="5" t="inlineStr">
        <is>
          <t>Basispunten aanrecht</t>
        </is>
      </c>
      <c r="B43" s="13">
        <f>IFERROR(INDEX(tbl_keuken_basis,MATCH(B28,tbl_keuken_grens,1)),0)</f>
        <v/>
      </c>
    </row>
    <row r="44">
      <c r="A44" s="5" t="inlineStr">
        <is>
          <t>Extra punten (raw)</t>
        </is>
      </c>
      <c r="B44" s="13">
        <f>IF(B29="J",0.75,0)+IF(B30="J",1.75,0)+IF(B31="J",1.0,0)+IF(B32="J",0.5,0)+IF(B33="J",1.0,0)+IF(B34="J",0.75,0)+IF(B35="J",1.0,0)+IF(B36="J",0.5,0)+IF(B37="J",1.0,0)+IF(B38="J",1.5,0)+IF(B39="J",0.75,0)+IF(B40="J",0.25,0)+IF(B41="J",0.5,0)+IF(B42="J",0.5,0)</f>
        <v/>
      </c>
    </row>
    <row r="45">
      <c r="A45" s="5" t="inlineStr">
        <is>
          <t>Extra gecapped</t>
        </is>
      </c>
      <c r="B45" s="13">
        <f>MIN(B44,B43)</f>
        <v/>
      </c>
    </row>
    <row r="46">
      <c r="A46" s="14" t="inlineStr">
        <is>
          <t>Totaal keuken punten</t>
        </is>
      </c>
      <c r="B46" s="15">
        <f>B43+B45</f>
        <v/>
      </c>
    </row>
    <row r="47">
      <c r="A47" s="5" t="inlineStr">
        <is>
          <t>n_kamers met toegang</t>
        </is>
      </c>
      <c r="B47" s="16">
        <f>IFERROR(INDEX(Invoer!$T$18:$T$57,B27),0)</f>
        <v/>
      </c>
    </row>
    <row r="48">
      <c r="A48" s="17" t="inlineStr">
        <is>
          <t>Per kamer</t>
        </is>
      </c>
      <c r="B48" s="15">
        <f>IFERROR(B46/IF(B47=0,1,B47),0)</f>
        <v/>
      </c>
    </row>
    <row r="49">
      <c r="A49" s="12" t="inlineStr">
        <is>
          <t>Keuken 3</t>
        </is>
      </c>
    </row>
    <row r="50">
      <c r="A50" s="5" t="inlineStr">
        <is>
          <t>Ruimte-nr (1-40)</t>
        </is>
      </c>
      <c r="B50" s="9" t="n"/>
    </row>
    <row r="51">
      <c r="A51" s="5" t="inlineStr">
        <is>
          <t>Aanrechtlengte (m)</t>
        </is>
      </c>
      <c r="B51" s="8" t="n"/>
    </row>
    <row r="52">
      <c r="A52" t="inlineStr">
        <is>
          <t>Afzuiginstallatie</t>
        </is>
      </c>
      <c r="B52" s="4" t="n"/>
    </row>
    <row r="53">
      <c r="A53" t="inlineStr">
        <is>
          <t>Kookplaat inductie</t>
        </is>
      </c>
      <c r="B53" s="4" t="n"/>
    </row>
    <row r="54">
      <c r="A54" t="inlineStr">
        <is>
          <t>Kookplaat keramisch</t>
        </is>
      </c>
      <c r="B54" s="4" t="n"/>
    </row>
    <row r="55">
      <c r="A55" t="inlineStr">
        <is>
          <t>Kookplaat gas</t>
        </is>
      </c>
      <c r="B55" s="4" t="n"/>
    </row>
    <row r="56">
      <c r="A56" t="inlineStr">
        <is>
          <t>Koelkast</t>
        </is>
      </c>
      <c r="B56" s="4" t="n"/>
    </row>
    <row r="57">
      <c r="A57" t="inlineStr">
        <is>
          <t>Vrieskast</t>
        </is>
      </c>
      <c r="B57" s="4" t="n"/>
    </row>
    <row r="58">
      <c r="A58" t="inlineStr">
        <is>
          <t>Oven elektrisch</t>
        </is>
      </c>
      <c r="B58" s="4" t="n"/>
    </row>
    <row r="59">
      <c r="A59" t="inlineStr">
        <is>
          <t>Oven gas</t>
        </is>
      </c>
      <c r="B59" s="4" t="n"/>
    </row>
    <row r="60">
      <c r="A60" t="inlineStr">
        <is>
          <t>Magnetron</t>
        </is>
      </c>
      <c r="B60" s="4" t="n"/>
    </row>
    <row r="61">
      <c r="A61" t="inlineStr">
        <is>
          <t>Vaatwasmachine</t>
        </is>
      </c>
      <c r="B61" s="4" t="n"/>
    </row>
    <row r="62">
      <c r="A62" t="inlineStr">
        <is>
          <t>Extra kastruimte (60cm)</t>
        </is>
      </c>
      <c r="B62" s="4" t="n"/>
    </row>
    <row r="63">
      <c r="A63" t="inlineStr">
        <is>
          <t>Éénhandsmengkraan</t>
        </is>
      </c>
      <c r="B63" s="4" t="n"/>
    </row>
    <row r="64">
      <c r="A64" t="inlineStr">
        <is>
          <t>Thermostatische mengkraan</t>
        </is>
      </c>
      <c r="B64" s="4" t="n"/>
    </row>
    <row r="65">
      <c r="A65" t="inlineStr">
        <is>
          <t>Kokend-waterfunctie</t>
        </is>
      </c>
      <c r="B65" s="4" t="n"/>
    </row>
    <row r="66">
      <c r="A66" s="5" t="inlineStr">
        <is>
          <t>Basispunten aanrecht</t>
        </is>
      </c>
      <c r="B66" s="13">
        <f>IFERROR(INDEX(tbl_keuken_basis,MATCH(B51,tbl_keuken_grens,1)),0)</f>
        <v/>
      </c>
    </row>
    <row r="67">
      <c r="A67" s="5" t="inlineStr">
        <is>
          <t>Extra punten (raw)</t>
        </is>
      </c>
      <c r="B67" s="13">
        <f>IF(B52="J",0.75,0)+IF(B53="J",1.75,0)+IF(B54="J",1.0,0)+IF(B55="J",0.5,0)+IF(B56="J",1.0,0)+IF(B57="J",0.75,0)+IF(B58="J",1.0,0)+IF(B59="J",0.5,0)+IF(B60="J",1.0,0)+IF(B61="J",1.5,0)+IF(B62="J",0.75,0)+IF(B63="J",0.25,0)+IF(B64="J",0.5,0)+IF(B65="J",0.5,0)</f>
        <v/>
      </c>
    </row>
    <row r="68">
      <c r="A68" s="5" t="inlineStr">
        <is>
          <t>Extra gecapped</t>
        </is>
      </c>
      <c r="B68" s="13">
        <f>MIN(B67,B66)</f>
        <v/>
      </c>
    </row>
    <row r="69">
      <c r="A69" s="14" t="inlineStr">
        <is>
          <t>Totaal keuken punten</t>
        </is>
      </c>
      <c r="B69" s="15">
        <f>B66+B68</f>
        <v/>
      </c>
    </row>
    <row r="70">
      <c r="A70" s="5" t="inlineStr">
        <is>
          <t>n_kamers met toegang</t>
        </is>
      </c>
      <c r="B70" s="16">
        <f>IFERROR(INDEX(Invoer!$T$18:$T$57,B50),0)</f>
        <v/>
      </c>
    </row>
    <row r="71">
      <c r="A71" s="17" t="inlineStr">
        <is>
          <t>Per kamer</t>
        </is>
      </c>
      <c r="B71" s="15">
        <f>IFERROR(B69/IF(B70=0,1,B70),0)</f>
        <v/>
      </c>
    </row>
    <row r="72">
      <c r="A72" s="12" t="inlineStr">
        <is>
          <t>Keuken 4</t>
        </is>
      </c>
    </row>
    <row r="73">
      <c r="A73" s="5" t="inlineStr">
        <is>
          <t>Ruimte-nr (1-40)</t>
        </is>
      </c>
      <c r="B73" s="9" t="n"/>
    </row>
    <row r="74">
      <c r="A74" s="5" t="inlineStr">
        <is>
          <t>Aanrechtlengte (m)</t>
        </is>
      </c>
      <c r="B74" s="8" t="n"/>
    </row>
    <row r="75">
      <c r="A75" t="inlineStr">
        <is>
          <t>Afzuiginstallatie</t>
        </is>
      </c>
      <c r="B75" s="4" t="n"/>
    </row>
    <row r="76">
      <c r="A76" t="inlineStr">
        <is>
          <t>Kookplaat inductie</t>
        </is>
      </c>
      <c r="B76" s="4" t="n"/>
    </row>
    <row r="77">
      <c r="A77" t="inlineStr">
        <is>
          <t>Kookplaat keramisch</t>
        </is>
      </c>
      <c r="B77" s="4" t="n"/>
    </row>
    <row r="78">
      <c r="A78" t="inlineStr">
        <is>
          <t>Kookplaat gas</t>
        </is>
      </c>
      <c r="B78" s="4" t="n"/>
    </row>
    <row r="79">
      <c r="A79" t="inlineStr">
        <is>
          <t>Koelkast</t>
        </is>
      </c>
      <c r="B79" s="4" t="n"/>
    </row>
    <row r="80">
      <c r="A80" t="inlineStr">
        <is>
          <t>Vrieskast</t>
        </is>
      </c>
      <c r="B80" s="4" t="n"/>
    </row>
    <row r="81">
      <c r="A81" t="inlineStr">
        <is>
          <t>Oven elektrisch</t>
        </is>
      </c>
      <c r="B81" s="4" t="n"/>
    </row>
    <row r="82">
      <c r="A82" t="inlineStr">
        <is>
          <t>Oven gas</t>
        </is>
      </c>
      <c r="B82" s="4" t="n"/>
    </row>
    <row r="83">
      <c r="A83" t="inlineStr">
        <is>
          <t>Magnetron</t>
        </is>
      </c>
      <c r="B83" s="4" t="n"/>
    </row>
    <row r="84">
      <c r="A84" t="inlineStr">
        <is>
          <t>Vaatwasmachine</t>
        </is>
      </c>
      <c r="B84" s="4" t="n"/>
    </row>
    <row r="85">
      <c r="A85" t="inlineStr">
        <is>
          <t>Extra kastruimte (60cm)</t>
        </is>
      </c>
      <c r="B85" s="4" t="n"/>
    </row>
    <row r="86">
      <c r="A86" t="inlineStr">
        <is>
          <t>Éénhandsmengkraan</t>
        </is>
      </c>
      <c r="B86" s="4" t="n"/>
    </row>
    <row r="87">
      <c r="A87" t="inlineStr">
        <is>
          <t>Thermostatische mengkraan</t>
        </is>
      </c>
      <c r="B87" s="4" t="n"/>
    </row>
    <row r="88">
      <c r="A88" t="inlineStr">
        <is>
          <t>Kokend-waterfunctie</t>
        </is>
      </c>
      <c r="B88" s="4" t="n"/>
    </row>
    <row r="89">
      <c r="A89" s="5" t="inlineStr">
        <is>
          <t>Basispunten aanrecht</t>
        </is>
      </c>
      <c r="B89" s="13">
        <f>IFERROR(INDEX(tbl_keuken_basis,MATCH(B74,tbl_keuken_grens,1)),0)</f>
        <v/>
      </c>
    </row>
    <row r="90">
      <c r="A90" s="5" t="inlineStr">
        <is>
          <t>Extra punten (raw)</t>
        </is>
      </c>
      <c r="B90" s="13">
        <f>IF(B75="J",0.75,0)+IF(B76="J",1.75,0)+IF(B77="J",1.0,0)+IF(B78="J",0.5,0)+IF(B79="J",1.0,0)+IF(B80="J",0.75,0)+IF(B81="J",1.0,0)+IF(B82="J",0.5,0)+IF(B83="J",1.0,0)+IF(B84="J",1.5,0)+IF(B85="J",0.75,0)+IF(B86="J",0.25,0)+IF(B87="J",0.5,0)+IF(B88="J",0.5,0)</f>
        <v/>
      </c>
    </row>
    <row r="91">
      <c r="A91" s="5" t="inlineStr">
        <is>
          <t>Extra gecapped</t>
        </is>
      </c>
      <c r="B91" s="13">
        <f>MIN(B90,B89)</f>
        <v/>
      </c>
    </row>
    <row r="92">
      <c r="A92" s="14" t="inlineStr">
        <is>
          <t>Totaal keuken punten</t>
        </is>
      </c>
      <c r="B92" s="15">
        <f>B89+B91</f>
        <v/>
      </c>
    </row>
    <row r="93">
      <c r="A93" s="5" t="inlineStr">
        <is>
          <t>n_kamers met toegang</t>
        </is>
      </c>
      <c r="B93" s="16">
        <f>IFERROR(INDEX(Invoer!$T$18:$T$57,B73),0)</f>
        <v/>
      </c>
    </row>
    <row r="94">
      <c r="A94" s="17" t="inlineStr">
        <is>
          <t>Per kamer</t>
        </is>
      </c>
      <c r="B94" s="15">
        <f>IFERROR(B92/IF(B93=0,1,B93),0)</f>
        <v/>
      </c>
    </row>
    <row r="95">
      <c r="A95" s="12" t="inlineStr">
        <is>
          <t>Keuken 5</t>
        </is>
      </c>
    </row>
    <row r="96">
      <c r="A96" s="5" t="inlineStr">
        <is>
          <t>Ruimte-nr (1-40)</t>
        </is>
      </c>
      <c r="B96" s="9" t="n"/>
    </row>
    <row r="97">
      <c r="A97" s="5" t="inlineStr">
        <is>
          <t>Aanrechtlengte (m)</t>
        </is>
      </c>
      <c r="B97" s="8" t="n"/>
    </row>
    <row r="98">
      <c r="A98" t="inlineStr">
        <is>
          <t>Afzuiginstallatie</t>
        </is>
      </c>
      <c r="B98" s="4" t="n"/>
    </row>
    <row r="99">
      <c r="A99" t="inlineStr">
        <is>
          <t>Kookplaat inductie</t>
        </is>
      </c>
      <c r="B99" s="4" t="n"/>
    </row>
    <row r="100">
      <c r="A100" t="inlineStr">
        <is>
          <t>Kookplaat keramisch</t>
        </is>
      </c>
      <c r="B100" s="4" t="n"/>
    </row>
    <row r="101">
      <c r="A101" t="inlineStr">
        <is>
          <t>Kookplaat gas</t>
        </is>
      </c>
      <c r="B101" s="4" t="n"/>
    </row>
    <row r="102">
      <c r="A102" t="inlineStr">
        <is>
          <t>Koelkast</t>
        </is>
      </c>
      <c r="B102" s="4" t="n"/>
    </row>
    <row r="103">
      <c r="A103" t="inlineStr">
        <is>
          <t>Vrieskast</t>
        </is>
      </c>
      <c r="B103" s="4" t="n"/>
    </row>
    <row r="104">
      <c r="A104" t="inlineStr">
        <is>
          <t>Oven elektrisch</t>
        </is>
      </c>
      <c r="B104" s="4" t="n"/>
    </row>
    <row r="105">
      <c r="A105" t="inlineStr">
        <is>
          <t>Oven gas</t>
        </is>
      </c>
      <c r="B105" s="4" t="n"/>
    </row>
    <row r="106">
      <c r="A106" t="inlineStr">
        <is>
          <t>Magnetron</t>
        </is>
      </c>
      <c r="B106" s="4" t="n"/>
    </row>
    <row r="107">
      <c r="A107" t="inlineStr">
        <is>
          <t>Vaatwasmachine</t>
        </is>
      </c>
      <c r="B107" s="4" t="n"/>
    </row>
    <row r="108">
      <c r="A108" t="inlineStr">
        <is>
          <t>Extra kastruimte (60cm)</t>
        </is>
      </c>
      <c r="B108" s="4" t="n"/>
    </row>
    <row r="109">
      <c r="A109" t="inlineStr">
        <is>
          <t>Éénhandsmengkraan</t>
        </is>
      </c>
      <c r="B109" s="4" t="n"/>
    </row>
    <row r="110">
      <c r="A110" t="inlineStr">
        <is>
          <t>Thermostatische mengkraan</t>
        </is>
      </c>
      <c r="B110" s="4" t="n"/>
    </row>
    <row r="111">
      <c r="A111" t="inlineStr">
        <is>
          <t>Kokend-waterfunctie</t>
        </is>
      </c>
      <c r="B111" s="4" t="n"/>
    </row>
    <row r="112">
      <c r="A112" s="5" t="inlineStr">
        <is>
          <t>Basispunten aanrecht</t>
        </is>
      </c>
      <c r="B112" s="13">
        <f>IFERROR(INDEX(tbl_keuken_basis,MATCH(B97,tbl_keuken_grens,1)),0)</f>
        <v/>
      </c>
    </row>
    <row r="113">
      <c r="A113" s="5" t="inlineStr">
        <is>
          <t>Extra punten (raw)</t>
        </is>
      </c>
      <c r="B113" s="13">
        <f>IF(B98="J",0.75,0)+IF(B99="J",1.75,0)+IF(B100="J",1.0,0)+IF(B101="J",0.5,0)+IF(B102="J",1.0,0)+IF(B103="J",0.75,0)+IF(B104="J",1.0,0)+IF(B105="J",0.5,0)+IF(B106="J",1.0,0)+IF(B107="J",1.5,0)+IF(B108="J",0.75,0)+IF(B109="J",0.25,0)+IF(B110="J",0.5,0)+IF(B111="J",0.5,0)</f>
        <v/>
      </c>
    </row>
    <row r="114">
      <c r="A114" s="5" t="inlineStr">
        <is>
          <t>Extra gecapped</t>
        </is>
      </c>
      <c r="B114" s="13">
        <f>MIN(B113,B112)</f>
        <v/>
      </c>
    </row>
    <row r="115">
      <c r="A115" s="14" t="inlineStr">
        <is>
          <t>Totaal keuken punten</t>
        </is>
      </c>
      <c r="B115" s="15">
        <f>B112+B114</f>
        <v/>
      </c>
    </row>
    <row r="116">
      <c r="A116" s="5" t="inlineStr">
        <is>
          <t>n_kamers met toegang</t>
        </is>
      </c>
      <c r="B116" s="16">
        <f>IFERROR(INDEX(Invoer!$T$18:$T$57,B96),0)</f>
        <v/>
      </c>
    </row>
    <row r="117">
      <c r="A117" s="17" t="inlineStr">
        <is>
          <t>Per kamer</t>
        </is>
      </c>
      <c r="B117" s="15">
        <f>IFERROR(B115/IF(B116=0,1,B116),0)</f>
        <v/>
      </c>
    </row>
    <row r="118">
      <c r="A118" s="12" t="inlineStr">
        <is>
          <t>Keuken 6</t>
        </is>
      </c>
    </row>
    <row r="119">
      <c r="A119" s="5" t="inlineStr">
        <is>
          <t>Ruimte-nr (1-40)</t>
        </is>
      </c>
      <c r="B119" s="9" t="n"/>
    </row>
    <row r="120">
      <c r="A120" s="5" t="inlineStr">
        <is>
          <t>Aanrechtlengte (m)</t>
        </is>
      </c>
      <c r="B120" s="8" t="n"/>
    </row>
    <row r="121">
      <c r="A121" t="inlineStr">
        <is>
          <t>Afzuiginstallatie</t>
        </is>
      </c>
      <c r="B121" s="4" t="n"/>
    </row>
    <row r="122">
      <c r="A122" t="inlineStr">
        <is>
          <t>Kookplaat inductie</t>
        </is>
      </c>
      <c r="B122" s="4" t="n"/>
    </row>
    <row r="123">
      <c r="A123" t="inlineStr">
        <is>
          <t>Kookplaat keramisch</t>
        </is>
      </c>
      <c r="B123" s="4" t="n"/>
    </row>
    <row r="124">
      <c r="A124" t="inlineStr">
        <is>
          <t>Kookplaat gas</t>
        </is>
      </c>
      <c r="B124" s="4" t="n"/>
    </row>
    <row r="125">
      <c r="A125" t="inlineStr">
        <is>
          <t>Koelkast</t>
        </is>
      </c>
      <c r="B125" s="4" t="n"/>
    </row>
    <row r="126">
      <c r="A126" t="inlineStr">
        <is>
          <t>Vrieskast</t>
        </is>
      </c>
      <c r="B126" s="4" t="n"/>
    </row>
    <row r="127">
      <c r="A127" t="inlineStr">
        <is>
          <t>Oven elektrisch</t>
        </is>
      </c>
      <c r="B127" s="4" t="n"/>
    </row>
    <row r="128">
      <c r="A128" t="inlineStr">
        <is>
          <t>Oven gas</t>
        </is>
      </c>
      <c r="B128" s="4" t="n"/>
    </row>
    <row r="129">
      <c r="A129" t="inlineStr">
        <is>
          <t>Magnetron</t>
        </is>
      </c>
      <c r="B129" s="4" t="n"/>
    </row>
    <row r="130">
      <c r="A130" t="inlineStr">
        <is>
          <t>Vaatwasmachine</t>
        </is>
      </c>
      <c r="B130" s="4" t="n"/>
    </row>
    <row r="131">
      <c r="A131" t="inlineStr">
        <is>
          <t>Extra kastruimte (60cm)</t>
        </is>
      </c>
      <c r="B131" s="4" t="n"/>
    </row>
    <row r="132">
      <c r="A132" t="inlineStr">
        <is>
          <t>Éénhandsmengkraan</t>
        </is>
      </c>
      <c r="B132" s="4" t="n"/>
    </row>
    <row r="133">
      <c r="A133" t="inlineStr">
        <is>
          <t>Thermostatische mengkraan</t>
        </is>
      </c>
      <c r="B133" s="4" t="n"/>
    </row>
    <row r="134">
      <c r="A134" t="inlineStr">
        <is>
          <t>Kokend-waterfunctie</t>
        </is>
      </c>
      <c r="B134" s="4" t="n"/>
    </row>
    <row r="135">
      <c r="A135" s="5" t="inlineStr">
        <is>
          <t>Basispunten aanrecht</t>
        </is>
      </c>
      <c r="B135" s="13">
        <f>IFERROR(INDEX(tbl_keuken_basis,MATCH(B120,tbl_keuken_grens,1)),0)</f>
        <v/>
      </c>
    </row>
    <row r="136">
      <c r="A136" s="5" t="inlineStr">
        <is>
          <t>Extra punten (raw)</t>
        </is>
      </c>
      <c r="B136" s="13">
        <f>IF(B121="J",0.75,0)+IF(B122="J",1.75,0)+IF(B123="J",1.0,0)+IF(B124="J",0.5,0)+IF(B125="J",1.0,0)+IF(B126="J",0.75,0)+IF(B127="J",1.0,0)+IF(B128="J",0.5,0)+IF(B129="J",1.0,0)+IF(B130="J",1.5,0)+IF(B131="J",0.75,0)+IF(B132="J",0.25,0)+IF(B133="J",0.5,0)+IF(B134="J",0.5,0)</f>
        <v/>
      </c>
    </row>
    <row r="137">
      <c r="A137" s="5" t="inlineStr">
        <is>
          <t>Extra gecapped</t>
        </is>
      </c>
      <c r="B137" s="13">
        <f>MIN(B136,B135)</f>
        <v/>
      </c>
    </row>
    <row r="138">
      <c r="A138" s="14" t="inlineStr">
        <is>
          <t>Totaal keuken punten</t>
        </is>
      </c>
      <c r="B138" s="15">
        <f>B135+B137</f>
        <v/>
      </c>
    </row>
    <row r="139">
      <c r="A139" s="5" t="inlineStr">
        <is>
          <t>n_kamers met toegang</t>
        </is>
      </c>
      <c r="B139" s="16">
        <f>IFERROR(INDEX(Invoer!$T$18:$T$57,B119),0)</f>
        <v/>
      </c>
    </row>
    <row r="140">
      <c r="A140" s="17" t="inlineStr">
        <is>
          <t>Per kamer</t>
        </is>
      </c>
      <c r="B140" s="15">
        <f>IFERROR(B138/IF(B139=0,1,B139),0)</f>
        <v/>
      </c>
    </row>
    <row r="141">
      <c r="A141" s="18" t="inlineStr">
        <is>
          <t>── Sanitaire voorzieningen ──</t>
        </is>
      </c>
    </row>
    <row r="142">
      <c r="A142" s="19" t="inlineStr">
        <is>
          <t>Badruimte-secties</t>
        </is>
      </c>
    </row>
    <row r="143">
      <c r="A143" s="20" t="inlineStr">
        <is>
          <t>Badruimte 1</t>
        </is>
      </c>
    </row>
    <row r="144">
      <c r="A144" s="5" t="inlineStr">
        <is>
          <t>Ruimte-nr (1-40)</t>
        </is>
      </c>
      <c r="B144" s="9" t="n"/>
    </row>
    <row r="145">
      <c r="A145" s="5" t="inlineStr">
        <is>
          <t>Toilet type</t>
        </is>
      </c>
      <c r="B145" s="4" t="n"/>
    </row>
    <row r="146">
      <c r="A146" s="5" t="inlineStr">
        <is>
          <t>Aantal wastafels (0-4)</t>
        </is>
      </c>
      <c r="B146" s="9" t="n"/>
    </row>
    <row r="147">
      <c r="A147" s="5" t="inlineStr">
        <is>
          <t>Aantal meerpersoonswastafel (0-2)</t>
        </is>
      </c>
      <c r="B147" s="9" t="n"/>
    </row>
    <row r="148">
      <c r="A148" s="5" t="inlineStr">
        <is>
          <t>Douche aanwezig</t>
        </is>
      </c>
      <c r="B148" s="4" t="n"/>
    </row>
    <row r="149">
      <c r="A149" s="5" t="inlineStr">
        <is>
          <t>Bad aanwezig</t>
        </is>
      </c>
      <c r="B149" s="4" t="n"/>
    </row>
    <row r="150">
      <c r="A150" s="5" t="inlineStr">
        <is>
          <t>Bad+douche combinatie</t>
        </is>
      </c>
      <c r="B150" s="4" t="n"/>
    </row>
    <row r="151">
      <c r="A151" t="inlineStr">
        <is>
          <t>Bubbelfunctie</t>
        </is>
      </c>
      <c r="B151" s="4" t="n"/>
    </row>
    <row r="152">
      <c r="A152" t="inlineStr">
        <is>
          <t>Doucheafscheiding</t>
        </is>
      </c>
      <c r="B152" s="4" t="n"/>
    </row>
    <row r="153">
      <c r="A153" t="inlineStr">
        <is>
          <t>Handdoekenradiator</t>
        </is>
      </c>
      <c r="B153" s="4" t="n"/>
    </row>
    <row r="154">
      <c r="A154" t="inlineStr">
        <is>
          <t>Ingebouwd kastje+wastafel</t>
        </is>
      </c>
      <c r="B154" s="4" t="n"/>
    </row>
    <row r="155">
      <c r="A155" t="inlineStr">
        <is>
          <t>Kastruimte</t>
        </is>
      </c>
      <c r="B155" s="4" t="n"/>
    </row>
    <row r="156">
      <c r="A156" t="inlineStr">
        <is>
          <t>Stopcontact (max 2)</t>
        </is>
      </c>
      <c r="B156" s="4" t="n"/>
    </row>
    <row r="157">
      <c r="A157" t="inlineStr">
        <is>
          <t>Éénhandsmengkraan</t>
        </is>
      </c>
      <c r="B157" s="4" t="n"/>
    </row>
    <row r="158">
      <c r="A158" t="inlineStr">
        <is>
          <t>Thermostatische mengkraan</t>
        </is>
      </c>
      <c r="B158" s="4" t="n"/>
    </row>
    <row r="159">
      <c r="A159" s="5" t="inlineStr">
        <is>
          <t>Toilet punten (calc)</t>
        </is>
      </c>
      <c r="B159" s="13">
        <f>IFERROR(INDEX(tbl_san_basis_pt,MATCH(B145,tbl_san_basis_naam,0)),0)</f>
        <v/>
      </c>
    </row>
    <row r="160">
      <c r="A160" s="5" t="inlineStr">
        <is>
          <t>Wastafel punten (calc)</t>
        </is>
      </c>
      <c r="B160" s="13">
        <f>IF(ISNUMBER(B146),B146,0)*1+IF(ISNUMBER(B147),B147,0)*1.5</f>
        <v/>
      </c>
    </row>
    <row r="161">
      <c r="A161" s="5" t="inlineStr">
        <is>
          <t>Douche/bad punten (calc)</t>
        </is>
      </c>
      <c r="B161" s="13">
        <f>IF(B150="J",6,IF(B149="J",5,0)+IF(B148="J",3,0))</f>
        <v/>
      </c>
    </row>
    <row r="162">
      <c r="A162" s="5" t="inlineStr">
        <is>
          <t>Extra punten (raw)</t>
        </is>
      </c>
      <c r="B162" s="13">
        <f>IF(B151="J",1.5,0)+IF(B152="J",1.25,0)+IF(B153="J",0.75,0)+IF(B154="J",1.0,0)+IF(B155="J",0.75,0)+IF(B156="J",0.25,0)+IF(B157="J",0.25,0)+IF(B158="J",0.5,0)</f>
        <v/>
      </c>
    </row>
    <row r="163">
      <c r="A163" s="5" t="inlineStr">
        <is>
          <t>Extra gecapped</t>
        </is>
      </c>
      <c r="B163" s="13">
        <f>MIN(B162,B161)</f>
        <v/>
      </c>
    </row>
    <row r="164">
      <c r="A164" s="14" t="inlineStr">
        <is>
          <t>Totaal sanitair punten</t>
        </is>
      </c>
      <c r="B164" s="15">
        <f>B159+B160+B161+B163</f>
        <v/>
      </c>
    </row>
    <row r="165">
      <c r="A165" s="5" t="inlineStr">
        <is>
          <t>n_kamers met toegang</t>
        </is>
      </c>
      <c r="B165" s="16">
        <f>IFERROR(INDEX(Invoer!$T$18:$T$57,B144),0)</f>
        <v/>
      </c>
    </row>
    <row r="166">
      <c r="A166" s="17" t="inlineStr">
        <is>
          <t>Per kamer</t>
        </is>
      </c>
      <c r="B166" s="15">
        <f>IFERROR(B164/IF(B165=0,1,B165),0)</f>
        <v/>
      </c>
    </row>
    <row r="167">
      <c r="A167" s="20" t="inlineStr">
        <is>
          <t>Badruimte 2</t>
        </is>
      </c>
    </row>
    <row r="168">
      <c r="A168" s="5" t="inlineStr">
        <is>
          <t>Ruimte-nr (1-40)</t>
        </is>
      </c>
      <c r="B168" s="9" t="n"/>
    </row>
    <row r="169">
      <c r="A169" s="5" t="inlineStr">
        <is>
          <t>Toilet type</t>
        </is>
      </c>
      <c r="B169" s="4" t="n"/>
    </row>
    <row r="170">
      <c r="A170" s="5" t="inlineStr">
        <is>
          <t>Aantal wastafels (0-4)</t>
        </is>
      </c>
      <c r="B170" s="9" t="n"/>
    </row>
    <row r="171">
      <c r="A171" s="5" t="inlineStr">
        <is>
          <t>Aantal meerpersoonswastafel (0-2)</t>
        </is>
      </c>
      <c r="B171" s="9" t="n"/>
    </row>
    <row r="172">
      <c r="A172" s="5" t="inlineStr">
        <is>
          <t>Douche aanwezig</t>
        </is>
      </c>
      <c r="B172" s="4" t="n"/>
    </row>
    <row r="173">
      <c r="A173" s="5" t="inlineStr">
        <is>
          <t>Bad aanwezig</t>
        </is>
      </c>
      <c r="B173" s="4" t="n"/>
    </row>
    <row r="174">
      <c r="A174" s="5" t="inlineStr">
        <is>
          <t>Bad+douche combinatie</t>
        </is>
      </c>
      <c r="B174" s="4" t="n"/>
    </row>
    <row r="175">
      <c r="A175" t="inlineStr">
        <is>
          <t>Bubbelfunctie</t>
        </is>
      </c>
      <c r="B175" s="4" t="n"/>
    </row>
    <row r="176">
      <c r="A176" t="inlineStr">
        <is>
          <t>Doucheafscheiding</t>
        </is>
      </c>
      <c r="B176" s="4" t="n"/>
    </row>
    <row r="177">
      <c r="A177" t="inlineStr">
        <is>
          <t>Handdoekenradiator</t>
        </is>
      </c>
      <c r="B177" s="4" t="n"/>
    </row>
    <row r="178">
      <c r="A178" t="inlineStr">
        <is>
          <t>Ingebouwd kastje+wastafel</t>
        </is>
      </c>
      <c r="B178" s="4" t="n"/>
    </row>
    <row r="179">
      <c r="A179" t="inlineStr">
        <is>
          <t>Kastruimte</t>
        </is>
      </c>
      <c r="B179" s="4" t="n"/>
    </row>
    <row r="180">
      <c r="A180" t="inlineStr">
        <is>
          <t>Stopcontact (max 2)</t>
        </is>
      </c>
      <c r="B180" s="4" t="n"/>
    </row>
    <row r="181">
      <c r="A181" t="inlineStr">
        <is>
          <t>Éénhandsmengkraan</t>
        </is>
      </c>
      <c r="B181" s="4" t="n"/>
    </row>
    <row r="182">
      <c r="A182" t="inlineStr">
        <is>
          <t>Thermostatische mengkraan</t>
        </is>
      </c>
      <c r="B182" s="4" t="n"/>
    </row>
    <row r="183">
      <c r="A183" s="5" t="inlineStr">
        <is>
          <t>Toilet punten (calc)</t>
        </is>
      </c>
      <c r="B183" s="13">
        <f>IFERROR(INDEX(tbl_san_basis_pt,MATCH(B169,tbl_san_basis_naam,0)),0)</f>
        <v/>
      </c>
    </row>
    <row r="184">
      <c r="A184" s="5" t="inlineStr">
        <is>
          <t>Wastafel punten (calc)</t>
        </is>
      </c>
      <c r="B184" s="13">
        <f>IF(ISNUMBER(B170),B170,0)*1+IF(ISNUMBER(B171),B171,0)*1.5</f>
        <v/>
      </c>
    </row>
    <row r="185">
      <c r="A185" s="5" t="inlineStr">
        <is>
          <t>Douche/bad punten (calc)</t>
        </is>
      </c>
      <c r="B185" s="13">
        <f>IF(B174="J",6,IF(B173="J",5,0)+IF(B172="J",3,0))</f>
        <v/>
      </c>
    </row>
    <row r="186">
      <c r="A186" s="5" t="inlineStr">
        <is>
          <t>Extra punten (raw)</t>
        </is>
      </c>
      <c r="B186" s="13">
        <f>IF(B175="J",1.5,0)+IF(B176="J",1.25,0)+IF(B177="J",0.75,0)+IF(B178="J",1.0,0)+IF(B179="J",0.75,0)+IF(B180="J",0.25,0)+IF(B181="J",0.25,0)+IF(B182="J",0.5,0)</f>
        <v/>
      </c>
    </row>
    <row r="187">
      <c r="A187" s="5" t="inlineStr">
        <is>
          <t>Extra gecapped</t>
        </is>
      </c>
      <c r="B187" s="13">
        <f>MIN(B186,B185)</f>
        <v/>
      </c>
    </row>
    <row r="188">
      <c r="A188" s="14" t="inlineStr">
        <is>
          <t>Totaal sanitair punten</t>
        </is>
      </c>
      <c r="B188" s="15">
        <f>B183+B184+B185+B187</f>
        <v/>
      </c>
    </row>
    <row r="189">
      <c r="A189" s="5" t="inlineStr">
        <is>
          <t>n_kamers met toegang</t>
        </is>
      </c>
      <c r="B189" s="16">
        <f>IFERROR(INDEX(Invoer!$T$18:$T$57,B168),0)</f>
        <v/>
      </c>
    </row>
    <row r="190">
      <c r="A190" s="17" t="inlineStr">
        <is>
          <t>Per kamer</t>
        </is>
      </c>
      <c r="B190" s="15">
        <f>IFERROR(B188/IF(B189=0,1,B189),0)</f>
        <v/>
      </c>
    </row>
    <row r="191">
      <c r="A191" s="20" t="inlineStr">
        <is>
          <t>Badruimte 3</t>
        </is>
      </c>
    </row>
    <row r="192">
      <c r="A192" s="5" t="inlineStr">
        <is>
          <t>Ruimte-nr (1-40)</t>
        </is>
      </c>
      <c r="B192" s="9" t="n"/>
    </row>
    <row r="193">
      <c r="A193" s="5" t="inlineStr">
        <is>
          <t>Toilet type</t>
        </is>
      </c>
      <c r="B193" s="4" t="n"/>
    </row>
    <row r="194">
      <c r="A194" s="5" t="inlineStr">
        <is>
          <t>Aantal wastafels (0-4)</t>
        </is>
      </c>
      <c r="B194" s="9" t="n"/>
    </row>
    <row r="195">
      <c r="A195" s="5" t="inlineStr">
        <is>
          <t>Aantal meerpersoonswastafel (0-2)</t>
        </is>
      </c>
      <c r="B195" s="9" t="n"/>
    </row>
    <row r="196">
      <c r="A196" s="5" t="inlineStr">
        <is>
          <t>Douche aanwezig</t>
        </is>
      </c>
      <c r="B196" s="4" t="n"/>
    </row>
    <row r="197">
      <c r="A197" s="5" t="inlineStr">
        <is>
          <t>Bad aanwezig</t>
        </is>
      </c>
      <c r="B197" s="4" t="n"/>
    </row>
    <row r="198">
      <c r="A198" s="5" t="inlineStr">
        <is>
          <t>Bad+douche combinatie</t>
        </is>
      </c>
      <c r="B198" s="4" t="n"/>
    </row>
    <row r="199">
      <c r="A199" t="inlineStr">
        <is>
          <t>Bubbelfunctie</t>
        </is>
      </c>
      <c r="B199" s="4" t="n"/>
    </row>
    <row r="200">
      <c r="A200" t="inlineStr">
        <is>
          <t>Doucheafscheiding</t>
        </is>
      </c>
      <c r="B200" s="4" t="n"/>
    </row>
    <row r="201">
      <c r="A201" t="inlineStr">
        <is>
          <t>Handdoekenradiator</t>
        </is>
      </c>
      <c r="B201" s="4" t="n"/>
    </row>
    <row r="202">
      <c r="A202" t="inlineStr">
        <is>
          <t>Ingebouwd kastje+wastafel</t>
        </is>
      </c>
      <c r="B202" s="4" t="n"/>
    </row>
    <row r="203">
      <c r="A203" t="inlineStr">
        <is>
          <t>Kastruimte</t>
        </is>
      </c>
      <c r="B203" s="4" t="n"/>
    </row>
    <row r="204">
      <c r="A204" t="inlineStr">
        <is>
          <t>Stopcontact (max 2)</t>
        </is>
      </c>
      <c r="B204" s="4" t="n"/>
    </row>
    <row r="205">
      <c r="A205" t="inlineStr">
        <is>
          <t>Éénhandsmengkraan</t>
        </is>
      </c>
      <c r="B205" s="4" t="n"/>
    </row>
    <row r="206">
      <c r="A206" t="inlineStr">
        <is>
          <t>Thermostatische mengkraan</t>
        </is>
      </c>
      <c r="B206" s="4" t="n"/>
    </row>
    <row r="207">
      <c r="A207" s="5" t="inlineStr">
        <is>
          <t>Toilet punten (calc)</t>
        </is>
      </c>
      <c r="B207" s="13">
        <f>IFERROR(INDEX(tbl_san_basis_pt,MATCH(B193,tbl_san_basis_naam,0)),0)</f>
        <v/>
      </c>
    </row>
    <row r="208">
      <c r="A208" s="5" t="inlineStr">
        <is>
          <t>Wastafel punten (calc)</t>
        </is>
      </c>
      <c r="B208" s="13">
        <f>IF(ISNUMBER(B194),B194,0)*1+IF(ISNUMBER(B195),B195,0)*1.5</f>
        <v/>
      </c>
    </row>
    <row r="209">
      <c r="A209" s="5" t="inlineStr">
        <is>
          <t>Douche/bad punten (calc)</t>
        </is>
      </c>
      <c r="B209" s="13">
        <f>IF(B198="J",6,IF(B197="J",5,0)+IF(B196="J",3,0))</f>
        <v/>
      </c>
    </row>
    <row r="210">
      <c r="A210" s="5" t="inlineStr">
        <is>
          <t>Extra punten (raw)</t>
        </is>
      </c>
      <c r="B210" s="13">
        <f>IF(B199="J",1.5,0)+IF(B200="J",1.25,0)+IF(B201="J",0.75,0)+IF(B202="J",1.0,0)+IF(B203="J",0.75,0)+IF(B204="J",0.25,0)+IF(B205="J",0.25,0)+IF(B206="J",0.5,0)</f>
        <v/>
      </c>
    </row>
    <row r="211">
      <c r="A211" s="5" t="inlineStr">
        <is>
          <t>Extra gecapped</t>
        </is>
      </c>
      <c r="B211" s="13">
        <f>MIN(B210,B209)</f>
        <v/>
      </c>
    </row>
    <row r="212">
      <c r="A212" s="14" t="inlineStr">
        <is>
          <t>Totaal sanitair punten</t>
        </is>
      </c>
      <c r="B212" s="15">
        <f>B207+B208+B209+B211</f>
        <v/>
      </c>
    </row>
    <row r="213">
      <c r="A213" s="5" t="inlineStr">
        <is>
          <t>n_kamers met toegang</t>
        </is>
      </c>
      <c r="B213" s="16">
        <f>IFERROR(INDEX(Invoer!$T$18:$T$57,B192),0)</f>
        <v/>
      </c>
    </row>
    <row r="214">
      <c r="A214" s="17" t="inlineStr">
        <is>
          <t>Per kamer</t>
        </is>
      </c>
      <c r="B214" s="15">
        <f>IFERROR(B212/IF(B213=0,1,B213),0)</f>
        <v/>
      </c>
    </row>
    <row r="215">
      <c r="A215" s="20" t="inlineStr">
        <is>
          <t>Badruimte 4</t>
        </is>
      </c>
    </row>
    <row r="216">
      <c r="A216" s="5" t="inlineStr">
        <is>
          <t>Ruimte-nr (1-40)</t>
        </is>
      </c>
      <c r="B216" s="9" t="n"/>
    </row>
    <row r="217">
      <c r="A217" s="5" t="inlineStr">
        <is>
          <t>Toilet type</t>
        </is>
      </c>
      <c r="B217" s="4" t="n"/>
    </row>
    <row r="218">
      <c r="A218" s="5" t="inlineStr">
        <is>
          <t>Aantal wastafels (0-4)</t>
        </is>
      </c>
      <c r="B218" s="9" t="n"/>
    </row>
    <row r="219">
      <c r="A219" s="5" t="inlineStr">
        <is>
          <t>Aantal meerpersoonswastafel (0-2)</t>
        </is>
      </c>
      <c r="B219" s="9" t="n"/>
    </row>
    <row r="220">
      <c r="A220" s="5" t="inlineStr">
        <is>
          <t>Douche aanwezig</t>
        </is>
      </c>
      <c r="B220" s="4" t="n"/>
    </row>
    <row r="221">
      <c r="A221" s="5" t="inlineStr">
        <is>
          <t>Bad aanwezig</t>
        </is>
      </c>
      <c r="B221" s="4" t="n"/>
    </row>
    <row r="222">
      <c r="A222" s="5" t="inlineStr">
        <is>
          <t>Bad+douche combinatie</t>
        </is>
      </c>
      <c r="B222" s="4" t="n"/>
    </row>
    <row r="223">
      <c r="A223" t="inlineStr">
        <is>
          <t>Bubbelfunctie</t>
        </is>
      </c>
      <c r="B223" s="4" t="n"/>
    </row>
    <row r="224">
      <c r="A224" t="inlineStr">
        <is>
          <t>Doucheafscheiding</t>
        </is>
      </c>
      <c r="B224" s="4" t="n"/>
    </row>
    <row r="225">
      <c r="A225" t="inlineStr">
        <is>
          <t>Handdoekenradiator</t>
        </is>
      </c>
      <c r="B225" s="4" t="n"/>
    </row>
    <row r="226">
      <c r="A226" t="inlineStr">
        <is>
          <t>Ingebouwd kastje+wastafel</t>
        </is>
      </c>
      <c r="B226" s="4" t="n"/>
    </row>
    <row r="227">
      <c r="A227" t="inlineStr">
        <is>
          <t>Kastruimte</t>
        </is>
      </c>
      <c r="B227" s="4" t="n"/>
    </row>
    <row r="228">
      <c r="A228" t="inlineStr">
        <is>
          <t>Stopcontact (max 2)</t>
        </is>
      </c>
      <c r="B228" s="4" t="n"/>
    </row>
    <row r="229">
      <c r="A229" t="inlineStr">
        <is>
          <t>Éénhandsmengkraan</t>
        </is>
      </c>
      <c r="B229" s="4" t="n"/>
    </row>
    <row r="230">
      <c r="A230" t="inlineStr">
        <is>
          <t>Thermostatische mengkraan</t>
        </is>
      </c>
      <c r="B230" s="4" t="n"/>
    </row>
    <row r="231">
      <c r="A231" s="5" t="inlineStr">
        <is>
          <t>Toilet punten (calc)</t>
        </is>
      </c>
      <c r="B231" s="13">
        <f>IFERROR(INDEX(tbl_san_basis_pt,MATCH(B217,tbl_san_basis_naam,0)),0)</f>
        <v/>
      </c>
    </row>
    <row r="232">
      <c r="A232" s="5" t="inlineStr">
        <is>
          <t>Wastafel punten (calc)</t>
        </is>
      </c>
      <c r="B232" s="13">
        <f>IF(ISNUMBER(B218),B218,0)*1+IF(ISNUMBER(B219),B219,0)*1.5</f>
        <v/>
      </c>
    </row>
    <row r="233">
      <c r="A233" s="5" t="inlineStr">
        <is>
          <t>Douche/bad punten (calc)</t>
        </is>
      </c>
      <c r="B233" s="13">
        <f>IF(B222="J",6,IF(B221="J",5,0)+IF(B220="J",3,0))</f>
        <v/>
      </c>
    </row>
    <row r="234">
      <c r="A234" s="5" t="inlineStr">
        <is>
          <t>Extra punten (raw)</t>
        </is>
      </c>
      <c r="B234" s="13">
        <f>IF(B223="J",1.5,0)+IF(B224="J",1.25,0)+IF(B225="J",0.75,0)+IF(B226="J",1.0,0)+IF(B227="J",0.75,0)+IF(B228="J",0.25,0)+IF(B229="J",0.25,0)+IF(B230="J",0.5,0)</f>
        <v/>
      </c>
    </row>
    <row r="235">
      <c r="A235" s="5" t="inlineStr">
        <is>
          <t>Extra gecapped</t>
        </is>
      </c>
      <c r="B235" s="13">
        <f>MIN(B234,B233)</f>
        <v/>
      </c>
    </row>
    <row r="236">
      <c r="A236" s="14" t="inlineStr">
        <is>
          <t>Totaal sanitair punten</t>
        </is>
      </c>
      <c r="B236" s="15">
        <f>B231+B232+B233+B235</f>
        <v/>
      </c>
    </row>
    <row r="237">
      <c r="A237" s="5" t="inlineStr">
        <is>
          <t>n_kamers met toegang</t>
        </is>
      </c>
      <c r="B237" s="16">
        <f>IFERROR(INDEX(Invoer!$T$18:$T$57,B216),0)</f>
        <v/>
      </c>
    </row>
    <row r="238">
      <c r="A238" s="17" t="inlineStr">
        <is>
          <t>Per kamer</t>
        </is>
      </c>
      <c r="B238" s="15">
        <f>IFERROR(B236/IF(B237=0,1,B237),0)</f>
        <v/>
      </c>
    </row>
    <row r="239">
      <c r="A239" s="20" t="inlineStr">
        <is>
          <t>Badruimte 5</t>
        </is>
      </c>
    </row>
    <row r="240">
      <c r="A240" s="5" t="inlineStr">
        <is>
          <t>Ruimte-nr (1-40)</t>
        </is>
      </c>
      <c r="B240" s="9" t="n"/>
    </row>
    <row r="241">
      <c r="A241" s="5" t="inlineStr">
        <is>
          <t>Toilet type</t>
        </is>
      </c>
      <c r="B241" s="4" t="n"/>
    </row>
    <row r="242">
      <c r="A242" s="5" t="inlineStr">
        <is>
          <t>Aantal wastafels (0-4)</t>
        </is>
      </c>
      <c r="B242" s="9" t="n"/>
    </row>
    <row r="243">
      <c r="A243" s="5" t="inlineStr">
        <is>
          <t>Aantal meerpersoonswastafel (0-2)</t>
        </is>
      </c>
      <c r="B243" s="9" t="n"/>
    </row>
    <row r="244">
      <c r="A244" s="5" t="inlineStr">
        <is>
          <t>Douche aanwezig</t>
        </is>
      </c>
      <c r="B244" s="4" t="n"/>
    </row>
    <row r="245">
      <c r="A245" s="5" t="inlineStr">
        <is>
          <t>Bad aanwezig</t>
        </is>
      </c>
      <c r="B245" s="4" t="n"/>
    </row>
    <row r="246">
      <c r="A246" s="5" t="inlineStr">
        <is>
          <t>Bad+douche combinatie</t>
        </is>
      </c>
      <c r="B246" s="4" t="n"/>
    </row>
    <row r="247">
      <c r="A247" t="inlineStr">
        <is>
          <t>Bubbelfunctie</t>
        </is>
      </c>
      <c r="B247" s="4" t="n"/>
    </row>
    <row r="248">
      <c r="A248" t="inlineStr">
        <is>
          <t>Doucheafscheiding</t>
        </is>
      </c>
      <c r="B248" s="4" t="n"/>
    </row>
    <row r="249">
      <c r="A249" t="inlineStr">
        <is>
          <t>Handdoekenradiator</t>
        </is>
      </c>
      <c r="B249" s="4" t="n"/>
    </row>
    <row r="250">
      <c r="A250" t="inlineStr">
        <is>
          <t>Ingebouwd kastje+wastafel</t>
        </is>
      </c>
      <c r="B250" s="4" t="n"/>
    </row>
    <row r="251">
      <c r="A251" t="inlineStr">
        <is>
          <t>Kastruimte</t>
        </is>
      </c>
      <c r="B251" s="4" t="n"/>
    </row>
    <row r="252">
      <c r="A252" t="inlineStr">
        <is>
          <t>Stopcontact (max 2)</t>
        </is>
      </c>
      <c r="B252" s="4" t="n"/>
    </row>
    <row r="253">
      <c r="A253" t="inlineStr">
        <is>
          <t>Éénhandsmengkraan</t>
        </is>
      </c>
      <c r="B253" s="4" t="n"/>
    </row>
    <row r="254">
      <c r="A254" t="inlineStr">
        <is>
          <t>Thermostatische mengkraan</t>
        </is>
      </c>
      <c r="B254" s="4" t="n"/>
    </row>
    <row r="255">
      <c r="A255" s="5" t="inlineStr">
        <is>
          <t>Toilet punten (calc)</t>
        </is>
      </c>
      <c r="B255" s="13">
        <f>IFERROR(INDEX(tbl_san_basis_pt,MATCH(B241,tbl_san_basis_naam,0)),0)</f>
        <v/>
      </c>
    </row>
    <row r="256">
      <c r="A256" s="5" t="inlineStr">
        <is>
          <t>Wastafel punten (calc)</t>
        </is>
      </c>
      <c r="B256" s="13">
        <f>IF(ISNUMBER(B242),B242,0)*1+IF(ISNUMBER(B243),B243,0)*1.5</f>
        <v/>
      </c>
    </row>
    <row r="257">
      <c r="A257" s="5" t="inlineStr">
        <is>
          <t>Douche/bad punten (calc)</t>
        </is>
      </c>
      <c r="B257" s="13">
        <f>IF(B246="J",6,IF(B245="J",5,0)+IF(B244="J",3,0))</f>
        <v/>
      </c>
    </row>
    <row r="258">
      <c r="A258" s="5" t="inlineStr">
        <is>
          <t>Extra punten (raw)</t>
        </is>
      </c>
      <c r="B258" s="13">
        <f>IF(B247="J",1.5,0)+IF(B248="J",1.25,0)+IF(B249="J",0.75,0)+IF(B250="J",1.0,0)+IF(B251="J",0.75,0)+IF(B252="J",0.25,0)+IF(B253="J",0.25,0)+IF(B254="J",0.5,0)</f>
        <v/>
      </c>
    </row>
    <row r="259">
      <c r="A259" s="5" t="inlineStr">
        <is>
          <t>Extra gecapped</t>
        </is>
      </c>
      <c r="B259" s="13">
        <f>MIN(B258,B257)</f>
        <v/>
      </c>
    </row>
    <row r="260">
      <c r="A260" s="14" t="inlineStr">
        <is>
          <t>Totaal sanitair punten</t>
        </is>
      </c>
      <c r="B260" s="15">
        <f>B255+B256+B257+B259</f>
        <v/>
      </c>
    </row>
    <row r="261">
      <c r="A261" s="5" t="inlineStr">
        <is>
          <t>n_kamers met toegang</t>
        </is>
      </c>
      <c r="B261" s="16">
        <f>IFERROR(INDEX(Invoer!$T$18:$T$57,B240),0)</f>
        <v/>
      </c>
    </row>
    <row r="262">
      <c r="A262" s="17" t="inlineStr">
        <is>
          <t>Per kamer</t>
        </is>
      </c>
      <c r="B262" s="15">
        <f>IFERROR(B260/IF(B261=0,1,B261),0)</f>
        <v/>
      </c>
    </row>
    <row r="263">
      <c r="A263" s="20" t="inlineStr">
        <is>
          <t>Badruimte 6</t>
        </is>
      </c>
    </row>
    <row r="264">
      <c r="A264" s="5" t="inlineStr">
        <is>
          <t>Ruimte-nr (1-40)</t>
        </is>
      </c>
      <c r="B264" s="9" t="n"/>
    </row>
    <row r="265">
      <c r="A265" s="5" t="inlineStr">
        <is>
          <t>Toilet type</t>
        </is>
      </c>
      <c r="B265" s="4" t="n"/>
    </row>
    <row r="266">
      <c r="A266" s="5" t="inlineStr">
        <is>
          <t>Aantal wastafels (0-4)</t>
        </is>
      </c>
      <c r="B266" s="9" t="n"/>
    </row>
    <row r="267">
      <c r="A267" s="5" t="inlineStr">
        <is>
          <t>Aantal meerpersoonswastafel (0-2)</t>
        </is>
      </c>
      <c r="B267" s="9" t="n"/>
    </row>
    <row r="268">
      <c r="A268" s="5" t="inlineStr">
        <is>
          <t>Douche aanwezig</t>
        </is>
      </c>
      <c r="B268" s="4" t="n"/>
    </row>
    <row r="269">
      <c r="A269" s="5" t="inlineStr">
        <is>
          <t>Bad aanwezig</t>
        </is>
      </c>
      <c r="B269" s="4" t="n"/>
    </row>
    <row r="270">
      <c r="A270" s="5" t="inlineStr">
        <is>
          <t>Bad+douche combinatie</t>
        </is>
      </c>
      <c r="B270" s="4" t="n"/>
    </row>
    <row r="271">
      <c r="A271" t="inlineStr">
        <is>
          <t>Bubbelfunctie</t>
        </is>
      </c>
      <c r="B271" s="4" t="n"/>
    </row>
    <row r="272">
      <c r="A272" t="inlineStr">
        <is>
          <t>Doucheafscheiding</t>
        </is>
      </c>
      <c r="B272" s="4" t="n"/>
    </row>
    <row r="273">
      <c r="A273" t="inlineStr">
        <is>
          <t>Handdoekenradiator</t>
        </is>
      </c>
      <c r="B273" s="4" t="n"/>
    </row>
    <row r="274">
      <c r="A274" t="inlineStr">
        <is>
          <t>Ingebouwd kastje+wastafel</t>
        </is>
      </c>
      <c r="B274" s="4" t="n"/>
    </row>
    <row r="275">
      <c r="A275" t="inlineStr">
        <is>
          <t>Kastruimte</t>
        </is>
      </c>
      <c r="B275" s="4" t="n"/>
    </row>
    <row r="276">
      <c r="A276" t="inlineStr">
        <is>
          <t>Stopcontact (max 2)</t>
        </is>
      </c>
      <c r="B276" s="4" t="n"/>
    </row>
    <row r="277">
      <c r="A277" t="inlineStr">
        <is>
          <t>Éénhandsmengkraan</t>
        </is>
      </c>
      <c r="B277" s="4" t="n"/>
    </row>
    <row r="278">
      <c r="A278" t="inlineStr">
        <is>
          <t>Thermostatische mengkraan</t>
        </is>
      </c>
      <c r="B278" s="4" t="n"/>
    </row>
    <row r="279">
      <c r="A279" s="5" t="inlineStr">
        <is>
          <t>Toilet punten (calc)</t>
        </is>
      </c>
      <c r="B279" s="13">
        <f>IFERROR(INDEX(tbl_san_basis_pt,MATCH(B265,tbl_san_basis_naam,0)),0)</f>
        <v/>
      </c>
    </row>
    <row r="280">
      <c r="A280" s="5" t="inlineStr">
        <is>
          <t>Wastafel punten (calc)</t>
        </is>
      </c>
      <c r="B280" s="13">
        <f>IF(ISNUMBER(B266),B266,0)*1+IF(ISNUMBER(B267),B267,0)*1.5</f>
        <v/>
      </c>
    </row>
    <row r="281">
      <c r="A281" s="5" t="inlineStr">
        <is>
          <t>Douche/bad punten (calc)</t>
        </is>
      </c>
      <c r="B281" s="13">
        <f>IF(B270="J",6,IF(B269="J",5,0)+IF(B268="J",3,0))</f>
        <v/>
      </c>
    </row>
    <row r="282">
      <c r="A282" s="5" t="inlineStr">
        <is>
          <t>Extra punten (raw)</t>
        </is>
      </c>
      <c r="B282" s="13">
        <f>IF(B271="J",1.5,0)+IF(B272="J",1.25,0)+IF(B273="J",0.75,0)+IF(B274="J",1.0,0)+IF(B275="J",0.75,0)+IF(B276="J",0.25,0)+IF(B277="J",0.25,0)+IF(B278="J",0.5,0)</f>
        <v/>
      </c>
    </row>
    <row r="283">
      <c r="A283" s="5" t="inlineStr">
        <is>
          <t>Extra gecapped</t>
        </is>
      </c>
      <c r="B283" s="13">
        <f>MIN(B282,B281)</f>
        <v/>
      </c>
    </row>
    <row r="284">
      <c r="A284" s="14" t="inlineStr">
        <is>
          <t>Totaal sanitair punten</t>
        </is>
      </c>
      <c r="B284" s="15">
        <f>B279+B280+B281+B283</f>
        <v/>
      </c>
    </row>
    <row r="285">
      <c r="A285" s="5" t="inlineStr">
        <is>
          <t>n_kamers met toegang</t>
        </is>
      </c>
      <c r="B285" s="16">
        <f>IFERROR(INDEX(Invoer!$T$18:$T$57,B264),0)</f>
        <v/>
      </c>
    </row>
    <row r="286">
      <c r="A286" s="17" t="inlineStr">
        <is>
          <t>Per kamer</t>
        </is>
      </c>
      <c r="B286" s="15">
        <f>IFERROR(B284/IF(B285=0,1,B285),0)</f>
        <v/>
      </c>
    </row>
    <row r="288">
      <c r="A288" s="18" t="inlineStr">
        <is>
          <t>── Aftrekpunten (R13) ──</t>
        </is>
      </c>
    </row>
    <row r="290">
      <c r="A290" s="19" t="inlineStr">
        <is>
          <t>Aftrekpunten per kamer (R13 §2.13)</t>
        </is>
      </c>
    </row>
    <row r="291">
      <c r="A291" s="5" t="inlineStr">
        <is>
          <t>Criterium / Kamer →</t>
        </is>
      </c>
      <c r="B291" s="21" t="inlineStr">
        <is>
          <t>K1</t>
        </is>
      </c>
      <c r="C291" s="21" t="inlineStr">
        <is>
          <t>K2</t>
        </is>
      </c>
      <c r="D291" s="21" t="inlineStr">
        <is>
          <t>K3</t>
        </is>
      </c>
      <c r="E291" s="21" t="inlineStr">
        <is>
          <t>K4</t>
        </is>
      </c>
      <c r="F291" s="21" t="inlineStr">
        <is>
          <t>K5</t>
        </is>
      </c>
      <c r="G291" s="21" t="inlineStr">
        <is>
          <t>K6</t>
        </is>
      </c>
      <c r="H291" s="21" t="inlineStr">
        <is>
          <t>K7</t>
        </is>
      </c>
      <c r="I291" s="21" t="inlineStr">
        <is>
          <t>K8</t>
        </is>
      </c>
      <c r="J291" s="21" t="inlineStr">
        <is>
          <t>K9</t>
        </is>
      </c>
      <c r="K291" s="21" t="inlineStr">
        <is>
          <t>K10</t>
        </is>
      </c>
      <c r="L291" s="21" t="inlineStr">
        <is>
          <t>K11</t>
        </is>
      </c>
      <c r="M291" s="21" t="inlineStr">
        <is>
          <t>K12</t>
        </is>
      </c>
    </row>
    <row r="292">
      <c r="A292" s="5" t="inlineStr">
        <is>
          <t>Privévertrek &lt; 8 m²</t>
        </is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</row>
    <row r="293">
      <c r="A293" s="5" t="inlineStr">
        <is>
          <t>Bereikbaar via verhuurder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</row>
    <row r="294">
      <c r="A294" s="5" t="inlineStr">
        <is>
          <t>Ruitoppervlak &lt; 0.75 m²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</row>
    <row r="295">
      <c r="A295" s="5" t="inlineStr">
        <is>
          <t>Laagste raam &gt; 1.60 m</t>
        </is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</row>
    <row r="296">
      <c r="A296" s="17" t="inlineStr">
        <is>
          <t>Aftrekpunten totaal</t>
        </is>
      </c>
      <c r="B296" s="22">
        <f>-4*COUNTIF(B292:B295,"J")</f>
        <v/>
      </c>
      <c r="C296" s="22">
        <f>-4*COUNTIF(C292:C295,"J")</f>
        <v/>
      </c>
      <c r="D296" s="22">
        <f>-4*COUNTIF(D292:D295,"J")</f>
        <v/>
      </c>
      <c r="E296" s="22">
        <f>-4*COUNTIF(E292:E295,"J")</f>
        <v/>
      </c>
      <c r="F296" s="22">
        <f>-4*COUNTIF(F292:F295,"J")</f>
        <v/>
      </c>
      <c r="G296" s="22">
        <f>-4*COUNTIF(G292:G295,"J")</f>
        <v/>
      </c>
      <c r="H296" s="22">
        <f>-4*COUNTIF(H292:H295,"J")</f>
        <v/>
      </c>
      <c r="I296" s="22">
        <f>-4*COUNTIF(I292:I295,"J")</f>
        <v/>
      </c>
      <c r="J296" s="22">
        <f>-4*COUNTIF(J292:J295,"J")</f>
        <v/>
      </c>
      <c r="K296" s="22">
        <f>-4*COUNTIF(K292:K295,"J")</f>
        <v/>
      </c>
      <c r="L296" s="22">
        <f>-4*COUNTIF(L292:L295,"J")</f>
        <v/>
      </c>
      <c r="M296" s="22">
        <f>-4*COUNTIF(M292:M295,"J")</f>
        <v/>
      </c>
    </row>
    <row r="299">
      <c r="A299" s="18" t="inlineStr">
        <is>
          <t>── Parkeren ──</t>
        </is>
      </c>
    </row>
    <row r="300">
      <c r="A300" s="5" t="inlineStr">
        <is>
          <t>Parkeertype</t>
        </is>
      </c>
      <c r="B300" s="4" t="n"/>
    </row>
    <row r="301">
      <c r="A301" s="5" t="inlineStr">
        <is>
          <t>Punten parkeren</t>
        </is>
      </c>
      <c r="B301" s="13">
        <f>IFERROR(INDEX(tbl_parkeer_pt,MATCH(B300,tbl_parkeer_type,0)),0)</f>
        <v/>
      </c>
    </row>
    <row r="302">
      <c r="A302" s="5" t="inlineStr">
        <is>
          <t>Laadpaal (J/N)</t>
        </is>
      </c>
      <c r="B302" s="4" t="n"/>
    </row>
    <row r="303">
      <c r="A303" s="5" t="inlineStr">
        <is>
          <t>Laadpaal punten</t>
        </is>
      </c>
      <c r="B303" s="13">
        <f>IF(B302="J",2,0)</f>
        <v/>
      </c>
    </row>
    <row r="304">
      <c r="A304" s="5" t="inlineStr">
        <is>
          <t>Aantal adressen (woningen)</t>
        </is>
      </c>
      <c r="B304" s="16">
        <f>Invoer!$B$15</f>
        <v/>
      </c>
    </row>
    <row r="305">
      <c r="A305" s="5" t="inlineStr">
        <is>
          <t>Aantal kamers eigen adres</t>
        </is>
      </c>
      <c r="B305" s="16">
        <f>Invoer!$B$14</f>
        <v/>
      </c>
    </row>
    <row r="306">
      <c r="A306" s="17" t="inlineStr">
        <is>
          <t>Per kamer</t>
        </is>
      </c>
      <c r="B306" s="15">
        <f>IFERROR((B301+B303)/IF(B304=0,1,B304)/IF(B305=0,1,B305),0)</f>
        <v/>
      </c>
    </row>
    <row r="309">
      <c r="A309" s="18" t="inlineStr">
        <is>
          <t>── Bijzondere voorzieningen ──</t>
        </is>
      </c>
    </row>
    <row r="310">
      <c r="A310" s="5" t="inlineStr">
        <is>
          <t>Aanbelfunctie met video (J/N)</t>
        </is>
      </c>
      <c r="B310" s="4" t="n"/>
    </row>
    <row r="311">
      <c r="A311" s="5" t="inlineStr">
        <is>
          <t>Aanbelfunctie punten per kamer</t>
        </is>
      </c>
      <c r="B311" s="13">
        <f>IF(B310="J",0.25,0)</f>
        <v/>
      </c>
    </row>
    <row r="312">
      <c r="A312" s="23" t="inlineStr">
        <is>
          <t>Zorgwoning (J/N) — +35% op R1-R11 (TODO-07)</t>
        </is>
      </c>
      <c r="B312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3">
    <mergeCell ref="A49:F49"/>
    <mergeCell ref="A191:F191"/>
    <mergeCell ref="A1:F1"/>
    <mergeCell ref="A118:F118"/>
    <mergeCell ref="A263:F263"/>
    <mergeCell ref="A26:F26"/>
    <mergeCell ref="A167:F167"/>
    <mergeCell ref="A143:F143"/>
    <mergeCell ref="A3:F3"/>
    <mergeCell ref="A215:F215"/>
    <mergeCell ref="A72:F72"/>
    <mergeCell ref="A239:F239"/>
    <mergeCell ref="A95:F95"/>
  </mergeCells>
  <dataValidations count="208">
    <dataValidation sqref="B6" showDropDown="0" showInputMessage="0" showErrorMessage="0" allowBlank="1" type="list">
      <formula1>"J,N"</formula1>
    </dataValidation>
    <dataValidation sqref="B7" showDropDown="0" showInputMessage="0" showErrorMessage="0" allowBlank="1" type="list">
      <formula1>"J,N"</formula1>
    </dataValidation>
    <dataValidation sqref="B8" showDropDown="0" showInputMessage="0" showErrorMessage="0" allowBlank="1" type="list">
      <formula1>"J,N"</formula1>
    </dataValidation>
    <dataValidation sqref="B9" showDropDown="0" showInputMessage="0" showErrorMessage="0" allowBlank="1" type="list">
      <formula1>"J,N"</formula1>
    </dataValidation>
    <dataValidation sqref="B10" showDropDown="0" showInputMessage="0" showErrorMessage="0" allowBlank="1" type="list">
      <formula1>"J,N"</formula1>
    </dataValidation>
    <dataValidation sqref="B11" showDropDown="0" showInputMessage="0" showErrorMessage="0" allowBlank="1" type="list">
      <formula1>"J,N"</formula1>
    </dataValidation>
    <dataValidation sqref="B12" showDropDown="0" showInputMessage="0" showErrorMessage="0" allowBlank="1" type="list">
      <formula1>"J,N"</formula1>
    </dataValidation>
    <dataValidation sqref="B13" showDropDown="0" showInputMessage="0" showErrorMessage="0" allowBlank="1" type="list">
      <formula1>"J,N"</formula1>
    </dataValidation>
    <dataValidation sqref="B14" showDropDown="0" showInputMessage="0" showErrorMessage="0" allowBlank="1" type="list">
      <formula1>"J,N"</formula1>
    </dataValidation>
    <dataValidation sqref="B15" showDropDown="0" showInputMessage="0" showErrorMessage="0" allowBlank="1" type="list">
      <formula1>"J,N"</formula1>
    </dataValidation>
    <dataValidation sqref="B16" showDropDown="0" showInputMessage="0" showErrorMessage="0" allowBlank="1" type="list">
      <formula1>"J,N"</formula1>
    </dataValidation>
    <dataValidation sqref="B17" showDropDown="0" showInputMessage="0" showErrorMessage="0" allowBlank="1" type="list">
      <formula1>"J,N"</formula1>
    </dataValidation>
    <dataValidation sqref="B18" showDropDown="0" showInputMessage="0" showErrorMessage="0" allowBlank="1" type="list">
      <formula1>"J,N"</formula1>
    </dataValidation>
    <dataValidation sqref="B19" showDropDown="0" showInputMessage="0" showErrorMessage="0" allowBlank="1" type="list">
      <formula1>"J,N"</formula1>
    </dataValidation>
    <dataValidation sqref="B29" showDropDown="0" showInputMessage="0" showErrorMessage="0" allowBlank="1" type="list">
      <formula1>"J,N"</formula1>
    </dataValidation>
    <dataValidation sqref="B30" showDropDown="0" showInputMessage="0" showErrorMessage="0" allowBlank="1" type="list">
      <formula1>"J,N"</formula1>
    </dataValidation>
    <dataValidation sqref="B31" showDropDown="0" showInputMessage="0" showErrorMessage="0" allowBlank="1" type="list">
      <formula1>"J,N"</formula1>
    </dataValidation>
    <dataValidation sqref="B32" showDropDown="0" showInputMessage="0" showErrorMessage="0" allowBlank="1" type="list">
      <formula1>"J,N"</formula1>
    </dataValidation>
    <dataValidation sqref="B33" showDropDown="0" showInputMessage="0" showErrorMessage="0" allowBlank="1" type="list">
      <formula1>"J,N"</formula1>
    </dataValidation>
    <dataValidation sqref="B34" showDropDown="0" showInputMessage="0" showErrorMessage="0" allowBlank="1" type="list">
      <formula1>"J,N"</formula1>
    </dataValidation>
    <dataValidation sqref="B35" showDropDown="0" showInputMessage="0" showErrorMessage="0" allowBlank="1" type="list">
      <formula1>"J,N"</formula1>
    </dataValidation>
    <dataValidation sqref="B36" showDropDown="0" showInputMessage="0" showErrorMessage="0" allowBlank="1" type="list">
      <formula1>"J,N"</formula1>
    </dataValidation>
    <dataValidation sqref="B37" showDropDown="0" showInputMessage="0" showErrorMessage="0" allowBlank="1" type="list">
      <formula1>"J,N"</formula1>
    </dataValidation>
    <dataValidation sqref="B38" showDropDown="0" showInputMessage="0" showErrorMessage="0" allowBlank="1" type="list">
      <formula1>"J,N"</formula1>
    </dataValidation>
    <dataValidation sqref="B39" showDropDown="0" showInputMessage="0" showErrorMessage="0" allowBlank="1" type="list">
      <formula1>"J,N"</formula1>
    </dataValidation>
    <dataValidation sqref="B40" showDropDown="0" showInputMessage="0" showErrorMessage="0" allowBlank="1" type="list">
      <formula1>"J,N"</formula1>
    </dataValidation>
    <dataValidation sqref="B41" showDropDown="0" showInputMessage="0" showErrorMessage="0" allowBlank="1" type="list">
      <formula1>"J,N"</formula1>
    </dataValidation>
    <dataValidation sqref="B42" showDropDown="0" showInputMessage="0" showErrorMessage="0" allowBlank="1" type="list">
      <formula1>"J,N"</formula1>
    </dataValidation>
    <dataValidation sqref="B52" showDropDown="0" showInputMessage="0" showErrorMessage="0" allowBlank="1" type="list">
      <formula1>"J,N"</formula1>
    </dataValidation>
    <dataValidation sqref="B53" showDropDown="0" showInputMessage="0" showErrorMessage="0" allowBlank="1" type="list">
      <formula1>"J,N"</formula1>
    </dataValidation>
    <dataValidation sqref="B54" showDropDown="0" showInputMessage="0" showErrorMessage="0" allowBlank="1" type="list">
      <formula1>"J,N"</formula1>
    </dataValidation>
    <dataValidation sqref="B55" showDropDown="0" showInputMessage="0" showErrorMessage="0" allowBlank="1" type="list">
      <formula1>"J,N"</formula1>
    </dataValidation>
    <dataValidation sqref="B56" showDropDown="0" showInputMessage="0" showErrorMessage="0" allowBlank="1" type="list">
      <formula1>"J,N"</formula1>
    </dataValidation>
    <dataValidation sqref="B57" showDropDown="0" showInputMessage="0" showErrorMessage="0" allowBlank="1" type="list">
      <formula1>"J,N"</formula1>
    </dataValidation>
    <dataValidation sqref="B58" showDropDown="0" showInputMessage="0" showErrorMessage="0" allowBlank="1" type="list">
      <formula1>"J,N"</formula1>
    </dataValidation>
    <dataValidation sqref="B59" showDropDown="0" showInputMessage="0" showErrorMessage="0" allowBlank="1" type="list">
      <formula1>"J,N"</formula1>
    </dataValidation>
    <dataValidation sqref="B60" showDropDown="0" showInputMessage="0" showErrorMessage="0" allowBlank="1" type="list">
      <formula1>"J,N"</formula1>
    </dataValidation>
    <dataValidation sqref="B61" showDropDown="0" showInputMessage="0" showErrorMessage="0" allowBlank="1" type="list">
      <formula1>"J,N"</formula1>
    </dataValidation>
    <dataValidation sqref="B62" showDropDown="0" showInputMessage="0" showErrorMessage="0" allowBlank="1" type="list">
      <formula1>"J,N"</formula1>
    </dataValidation>
    <dataValidation sqref="B63" showDropDown="0" showInputMessage="0" showErrorMessage="0" allowBlank="1" type="list">
      <formula1>"J,N"</formula1>
    </dataValidation>
    <dataValidation sqref="B64" showDropDown="0" showInputMessage="0" showErrorMessage="0" allowBlank="1" type="list">
      <formula1>"J,N"</formula1>
    </dataValidation>
    <dataValidation sqref="B65" showDropDown="0" showInputMessage="0" showErrorMessage="0" allowBlank="1" type="list">
      <formula1>"J,N"</formula1>
    </dataValidation>
    <dataValidation sqref="B75" showDropDown="0" showInputMessage="0" showErrorMessage="0" allowBlank="1" type="list">
      <formula1>"J,N"</formula1>
    </dataValidation>
    <dataValidation sqref="B76" showDropDown="0" showInputMessage="0" showErrorMessage="0" allowBlank="1" type="list">
      <formula1>"J,N"</formula1>
    </dataValidation>
    <dataValidation sqref="B77" showDropDown="0" showInputMessage="0" showErrorMessage="0" allowBlank="1" type="list">
      <formula1>"J,N"</formula1>
    </dataValidation>
    <dataValidation sqref="B78" showDropDown="0" showInputMessage="0" showErrorMessage="0" allowBlank="1" type="list">
      <formula1>"J,N"</formula1>
    </dataValidation>
    <dataValidation sqref="B79" showDropDown="0" showInputMessage="0" showErrorMessage="0" allowBlank="1" type="list">
      <formula1>"J,N"</formula1>
    </dataValidation>
    <dataValidation sqref="B80" showDropDown="0" showInputMessage="0" showErrorMessage="0" allowBlank="1" type="list">
      <formula1>"J,N"</formula1>
    </dataValidation>
    <dataValidation sqref="B81" showDropDown="0" showInputMessage="0" showErrorMessage="0" allowBlank="1" type="list">
      <formula1>"J,N"</formula1>
    </dataValidation>
    <dataValidation sqref="B82" showDropDown="0" showInputMessage="0" showErrorMessage="0" allowBlank="1" type="list">
      <formula1>"J,N"</formula1>
    </dataValidation>
    <dataValidation sqref="B83" showDropDown="0" showInputMessage="0" showErrorMessage="0" allowBlank="1" type="list">
      <formula1>"J,N"</formula1>
    </dataValidation>
    <dataValidation sqref="B84" showDropDown="0" showInputMessage="0" showErrorMessage="0" allowBlank="1" type="list">
      <formula1>"J,N"</formula1>
    </dataValidation>
    <dataValidation sqref="B85" showDropDown="0" showInputMessage="0" showErrorMessage="0" allowBlank="1" type="list">
      <formula1>"J,N"</formula1>
    </dataValidation>
    <dataValidation sqref="B86" showDropDown="0" showInputMessage="0" showErrorMessage="0" allowBlank="1" type="list">
      <formula1>"J,N"</formula1>
    </dataValidation>
    <dataValidation sqref="B87" showDropDown="0" showInputMessage="0" showErrorMessage="0" allowBlank="1" type="list">
      <formula1>"J,N"</formula1>
    </dataValidation>
    <dataValidation sqref="B88" showDropDown="0" showInputMessage="0" showErrorMessage="0" allowBlank="1" type="list">
      <formula1>"J,N"</formula1>
    </dataValidation>
    <dataValidation sqref="B98" showDropDown="0" showInputMessage="0" showErrorMessage="0" allowBlank="1" type="list">
      <formula1>"J,N"</formula1>
    </dataValidation>
    <dataValidation sqref="B99" showDropDown="0" showInputMessage="0" showErrorMessage="0" allowBlank="1" type="list">
      <formula1>"J,N"</formula1>
    </dataValidation>
    <dataValidation sqref="B100" showDropDown="0" showInputMessage="0" showErrorMessage="0" allowBlank="1" type="list">
      <formula1>"J,N"</formula1>
    </dataValidation>
    <dataValidation sqref="B101" showDropDown="0" showInputMessage="0" showErrorMessage="0" allowBlank="1" type="list">
      <formula1>"J,N"</formula1>
    </dataValidation>
    <dataValidation sqref="B102" showDropDown="0" showInputMessage="0" showErrorMessage="0" allowBlank="1" type="list">
      <formula1>"J,N"</formula1>
    </dataValidation>
    <dataValidation sqref="B103" showDropDown="0" showInputMessage="0" showErrorMessage="0" allowBlank="1" type="list">
      <formula1>"J,N"</formula1>
    </dataValidation>
    <dataValidation sqref="B104" showDropDown="0" showInputMessage="0" showErrorMessage="0" allowBlank="1" type="list">
      <formula1>"J,N"</formula1>
    </dataValidation>
    <dataValidation sqref="B105" showDropDown="0" showInputMessage="0" showErrorMessage="0" allowBlank="1" type="list">
      <formula1>"J,N"</formula1>
    </dataValidation>
    <dataValidation sqref="B106" showDropDown="0" showInputMessage="0" showErrorMessage="0" allowBlank="1" type="list">
      <formula1>"J,N"</formula1>
    </dataValidation>
    <dataValidation sqref="B107" showDropDown="0" showInputMessage="0" showErrorMessage="0" allowBlank="1" type="list">
      <formula1>"J,N"</formula1>
    </dataValidation>
    <dataValidation sqref="B108" showDropDown="0" showInputMessage="0" showErrorMessage="0" allowBlank="1" type="list">
      <formula1>"J,N"</formula1>
    </dataValidation>
    <dataValidation sqref="B109" showDropDown="0" showInputMessage="0" showErrorMessage="0" allowBlank="1" type="list">
      <formula1>"J,N"</formula1>
    </dataValidation>
    <dataValidation sqref="B110" showDropDown="0" showInputMessage="0" showErrorMessage="0" allowBlank="1" type="list">
      <formula1>"J,N"</formula1>
    </dataValidation>
    <dataValidation sqref="B111" showDropDown="0" showInputMessage="0" showErrorMessage="0" allowBlank="1" type="list">
      <formula1>"J,N"</formula1>
    </dataValidation>
    <dataValidation sqref="B121" showDropDown="0" showInputMessage="0" showErrorMessage="0" allowBlank="1" type="list">
      <formula1>"J,N"</formula1>
    </dataValidation>
    <dataValidation sqref="B122" showDropDown="0" showInputMessage="0" showErrorMessage="0" allowBlank="1" type="list">
      <formula1>"J,N"</formula1>
    </dataValidation>
    <dataValidation sqref="B123" showDropDown="0" showInputMessage="0" showErrorMessage="0" allowBlank="1" type="list">
      <formula1>"J,N"</formula1>
    </dataValidation>
    <dataValidation sqref="B124" showDropDown="0" showInputMessage="0" showErrorMessage="0" allowBlank="1" type="list">
      <formula1>"J,N"</formula1>
    </dataValidation>
    <dataValidation sqref="B125" showDropDown="0" showInputMessage="0" showErrorMessage="0" allowBlank="1" type="list">
      <formula1>"J,N"</formula1>
    </dataValidation>
    <dataValidation sqref="B126" showDropDown="0" showInputMessage="0" showErrorMessage="0" allowBlank="1" type="list">
      <formula1>"J,N"</formula1>
    </dataValidation>
    <dataValidation sqref="B127" showDropDown="0" showInputMessage="0" showErrorMessage="0" allowBlank="1" type="list">
      <formula1>"J,N"</formula1>
    </dataValidation>
    <dataValidation sqref="B128" showDropDown="0" showInputMessage="0" showErrorMessage="0" allowBlank="1" type="list">
      <formula1>"J,N"</formula1>
    </dataValidation>
    <dataValidation sqref="B129" showDropDown="0" showInputMessage="0" showErrorMessage="0" allowBlank="1" type="list">
      <formula1>"J,N"</formula1>
    </dataValidation>
    <dataValidation sqref="B130" showDropDown="0" showInputMessage="0" showErrorMessage="0" allowBlank="1" type="list">
      <formula1>"J,N"</formula1>
    </dataValidation>
    <dataValidation sqref="B131" showDropDown="0" showInputMessage="0" showErrorMessage="0" allowBlank="1" type="list">
      <formula1>"J,N"</formula1>
    </dataValidation>
    <dataValidation sqref="B132" showDropDown="0" showInputMessage="0" showErrorMessage="0" allowBlank="1" type="list">
      <formula1>"J,N"</formula1>
    </dataValidation>
    <dataValidation sqref="B133" showDropDown="0" showInputMessage="0" showErrorMessage="0" allowBlank="1" type="list">
      <formula1>"J,N"</formula1>
    </dataValidation>
    <dataValidation sqref="B134" showDropDown="0" showInputMessage="0" showErrorMessage="0" allowBlank="1" type="list">
      <formula1>"J,N"</formula1>
    </dataValidation>
    <dataValidation sqref="B145" showDropDown="0" showInputMessage="0" showErrorMessage="0" allowBlank="1" type="list">
      <formula1>"Geen,Staand in toiletruimte,Staand in badkamer,Hangend in toiletruimte,Hangend in badkamer"</formula1>
    </dataValidation>
    <dataValidation sqref="B148" showDropDown="0" showInputMessage="0" showErrorMessage="0" allowBlank="1" type="list">
      <formula1>"J,N"</formula1>
    </dataValidation>
    <dataValidation sqref="B149" showDropDown="0" showInputMessage="0" showErrorMessage="0" allowBlank="1" type="list">
      <formula1>"J,N"</formula1>
    </dataValidation>
    <dataValidation sqref="B150" showDropDown="0" showInputMessage="0" showErrorMessage="0" allowBlank="1" type="list">
      <formula1>"J,N"</formula1>
    </dataValidation>
    <dataValidation sqref="B151" showDropDown="0" showInputMessage="0" showErrorMessage="0" allowBlank="1" type="list">
      <formula1>"J,N"</formula1>
    </dataValidation>
    <dataValidation sqref="B152" showDropDown="0" showInputMessage="0" showErrorMessage="0" allowBlank="1" type="list">
      <formula1>"J,N"</formula1>
    </dataValidation>
    <dataValidation sqref="B153" showDropDown="0" showInputMessage="0" showErrorMessage="0" allowBlank="1" type="list">
      <formula1>"J,N"</formula1>
    </dataValidation>
    <dataValidation sqref="B154" showDropDown="0" showInputMessage="0" showErrorMessage="0" allowBlank="1" type="list">
      <formula1>"J,N"</formula1>
    </dataValidation>
    <dataValidation sqref="B155" showDropDown="0" showInputMessage="0" showErrorMessage="0" allowBlank="1" type="list">
      <formula1>"J,N"</formula1>
    </dataValidation>
    <dataValidation sqref="B156" showDropDown="0" showInputMessage="0" showErrorMessage="0" allowBlank="1" type="list">
      <formula1>"J,N"</formula1>
    </dataValidation>
    <dataValidation sqref="B157" showDropDown="0" showInputMessage="0" showErrorMessage="0" allowBlank="1" type="list">
      <formula1>"J,N"</formula1>
    </dataValidation>
    <dataValidation sqref="B158" showDropDown="0" showInputMessage="0" showErrorMessage="0" allowBlank="1" type="list">
      <formula1>"J,N"</formula1>
    </dataValidation>
    <dataValidation sqref="B169" showDropDown="0" showInputMessage="0" showErrorMessage="0" allowBlank="1" type="list">
      <formula1>"Geen,Staand in toiletruimte,Staand in badkamer,Hangend in toiletruimte,Hangend in badkamer"</formula1>
    </dataValidation>
    <dataValidation sqref="B172" showDropDown="0" showInputMessage="0" showErrorMessage="0" allowBlank="1" type="list">
      <formula1>"J,N"</formula1>
    </dataValidation>
    <dataValidation sqref="B173" showDropDown="0" showInputMessage="0" showErrorMessage="0" allowBlank="1" type="list">
      <formula1>"J,N"</formula1>
    </dataValidation>
    <dataValidation sqref="B174" showDropDown="0" showInputMessage="0" showErrorMessage="0" allowBlank="1" type="list">
      <formula1>"J,N"</formula1>
    </dataValidation>
    <dataValidation sqref="B175" showDropDown="0" showInputMessage="0" showErrorMessage="0" allowBlank="1" type="list">
      <formula1>"J,N"</formula1>
    </dataValidation>
    <dataValidation sqref="B176" showDropDown="0" showInputMessage="0" showErrorMessage="0" allowBlank="1" type="list">
      <formula1>"J,N"</formula1>
    </dataValidation>
    <dataValidation sqref="B177" showDropDown="0" showInputMessage="0" showErrorMessage="0" allowBlank="1" type="list">
      <formula1>"J,N"</formula1>
    </dataValidation>
    <dataValidation sqref="B178" showDropDown="0" showInputMessage="0" showErrorMessage="0" allowBlank="1" type="list">
      <formula1>"J,N"</formula1>
    </dataValidation>
    <dataValidation sqref="B179" showDropDown="0" showInputMessage="0" showErrorMessage="0" allowBlank="1" type="list">
      <formula1>"J,N"</formula1>
    </dataValidation>
    <dataValidation sqref="B180" showDropDown="0" showInputMessage="0" showErrorMessage="0" allowBlank="1" type="list">
      <formula1>"J,N"</formula1>
    </dataValidation>
    <dataValidation sqref="B181" showDropDown="0" showInputMessage="0" showErrorMessage="0" allowBlank="1" type="list">
      <formula1>"J,N"</formula1>
    </dataValidation>
    <dataValidation sqref="B182" showDropDown="0" showInputMessage="0" showErrorMessage="0" allowBlank="1" type="list">
      <formula1>"J,N"</formula1>
    </dataValidation>
    <dataValidation sqref="B193" showDropDown="0" showInputMessage="0" showErrorMessage="0" allowBlank="1" type="list">
      <formula1>"Geen,Staand in toiletruimte,Staand in badkamer,Hangend in toiletruimte,Hangend in badkamer"</formula1>
    </dataValidation>
    <dataValidation sqref="B196" showDropDown="0" showInputMessage="0" showErrorMessage="0" allowBlank="1" type="list">
      <formula1>"J,N"</formula1>
    </dataValidation>
    <dataValidation sqref="B197" showDropDown="0" showInputMessage="0" showErrorMessage="0" allowBlank="1" type="list">
      <formula1>"J,N"</formula1>
    </dataValidation>
    <dataValidation sqref="B198" showDropDown="0" showInputMessage="0" showErrorMessage="0" allowBlank="1" type="list">
      <formula1>"J,N"</formula1>
    </dataValidation>
    <dataValidation sqref="B199" showDropDown="0" showInputMessage="0" showErrorMessage="0" allowBlank="1" type="list">
      <formula1>"J,N"</formula1>
    </dataValidation>
    <dataValidation sqref="B200" showDropDown="0" showInputMessage="0" showErrorMessage="0" allowBlank="1" type="list">
      <formula1>"J,N"</formula1>
    </dataValidation>
    <dataValidation sqref="B201" showDropDown="0" showInputMessage="0" showErrorMessage="0" allowBlank="1" type="list">
      <formula1>"J,N"</formula1>
    </dataValidation>
    <dataValidation sqref="B202" showDropDown="0" showInputMessage="0" showErrorMessage="0" allowBlank="1" type="list">
      <formula1>"J,N"</formula1>
    </dataValidation>
    <dataValidation sqref="B203" showDropDown="0" showInputMessage="0" showErrorMessage="0" allowBlank="1" type="list">
      <formula1>"J,N"</formula1>
    </dataValidation>
    <dataValidation sqref="B204" showDropDown="0" showInputMessage="0" showErrorMessage="0" allowBlank="1" type="list">
      <formula1>"J,N"</formula1>
    </dataValidation>
    <dataValidation sqref="B205" showDropDown="0" showInputMessage="0" showErrorMessage="0" allowBlank="1" type="list">
      <formula1>"J,N"</formula1>
    </dataValidation>
    <dataValidation sqref="B206" showDropDown="0" showInputMessage="0" showErrorMessage="0" allowBlank="1" type="list">
      <formula1>"J,N"</formula1>
    </dataValidation>
    <dataValidation sqref="B217" showDropDown="0" showInputMessage="0" showErrorMessage="0" allowBlank="1" type="list">
      <formula1>"Geen,Staand in toiletruimte,Staand in badkamer,Hangend in toiletruimte,Hangend in badkamer"</formula1>
    </dataValidation>
    <dataValidation sqref="B220" showDropDown="0" showInputMessage="0" showErrorMessage="0" allowBlank="1" type="list">
      <formula1>"J,N"</formula1>
    </dataValidation>
    <dataValidation sqref="B221" showDropDown="0" showInputMessage="0" showErrorMessage="0" allowBlank="1" type="list">
      <formula1>"J,N"</formula1>
    </dataValidation>
    <dataValidation sqref="B222" showDropDown="0" showInputMessage="0" showErrorMessage="0" allowBlank="1" type="list">
      <formula1>"J,N"</formula1>
    </dataValidation>
    <dataValidation sqref="B223" showDropDown="0" showInputMessage="0" showErrorMessage="0" allowBlank="1" type="list">
      <formula1>"J,N"</formula1>
    </dataValidation>
    <dataValidation sqref="B224" showDropDown="0" showInputMessage="0" showErrorMessage="0" allowBlank="1" type="list">
      <formula1>"J,N"</formula1>
    </dataValidation>
    <dataValidation sqref="B225" showDropDown="0" showInputMessage="0" showErrorMessage="0" allowBlank="1" type="list">
      <formula1>"J,N"</formula1>
    </dataValidation>
    <dataValidation sqref="B226" showDropDown="0" showInputMessage="0" showErrorMessage="0" allowBlank="1" type="list">
      <formula1>"J,N"</formula1>
    </dataValidation>
    <dataValidation sqref="B227" showDropDown="0" showInputMessage="0" showErrorMessage="0" allowBlank="1" type="list">
      <formula1>"J,N"</formula1>
    </dataValidation>
    <dataValidation sqref="B228" showDropDown="0" showInputMessage="0" showErrorMessage="0" allowBlank="1" type="list">
      <formula1>"J,N"</formula1>
    </dataValidation>
    <dataValidation sqref="B229" showDropDown="0" showInputMessage="0" showErrorMessage="0" allowBlank="1" type="list">
      <formula1>"J,N"</formula1>
    </dataValidation>
    <dataValidation sqref="B230" showDropDown="0" showInputMessage="0" showErrorMessage="0" allowBlank="1" type="list">
      <formula1>"J,N"</formula1>
    </dataValidation>
    <dataValidation sqref="B241" showDropDown="0" showInputMessage="0" showErrorMessage="0" allowBlank="1" type="list">
      <formula1>"Geen,Staand in toiletruimte,Staand in badkamer,Hangend in toiletruimte,Hangend in badkamer"</formula1>
    </dataValidation>
    <dataValidation sqref="B244" showDropDown="0" showInputMessage="0" showErrorMessage="0" allowBlank="1" type="list">
      <formula1>"J,N"</formula1>
    </dataValidation>
    <dataValidation sqref="B245" showDropDown="0" showInputMessage="0" showErrorMessage="0" allowBlank="1" type="list">
      <formula1>"J,N"</formula1>
    </dataValidation>
    <dataValidation sqref="B246" showDropDown="0" showInputMessage="0" showErrorMessage="0" allowBlank="1" type="list">
      <formula1>"J,N"</formula1>
    </dataValidation>
    <dataValidation sqref="B247" showDropDown="0" showInputMessage="0" showErrorMessage="0" allowBlank="1" type="list">
      <formula1>"J,N"</formula1>
    </dataValidation>
    <dataValidation sqref="B248" showDropDown="0" showInputMessage="0" showErrorMessage="0" allowBlank="1" type="list">
      <formula1>"J,N"</formula1>
    </dataValidation>
    <dataValidation sqref="B249" showDropDown="0" showInputMessage="0" showErrorMessage="0" allowBlank="1" type="list">
      <formula1>"J,N"</formula1>
    </dataValidation>
    <dataValidation sqref="B250" showDropDown="0" showInputMessage="0" showErrorMessage="0" allowBlank="1" type="list">
      <formula1>"J,N"</formula1>
    </dataValidation>
    <dataValidation sqref="B251" showDropDown="0" showInputMessage="0" showErrorMessage="0" allowBlank="1" type="list">
      <formula1>"J,N"</formula1>
    </dataValidation>
    <dataValidation sqref="B252" showDropDown="0" showInputMessage="0" showErrorMessage="0" allowBlank="1" type="list">
      <formula1>"J,N"</formula1>
    </dataValidation>
    <dataValidation sqref="B253" showDropDown="0" showInputMessage="0" showErrorMessage="0" allowBlank="1" type="list">
      <formula1>"J,N"</formula1>
    </dataValidation>
    <dataValidation sqref="B254" showDropDown="0" showInputMessage="0" showErrorMessage="0" allowBlank="1" type="list">
      <formula1>"J,N"</formula1>
    </dataValidation>
    <dataValidation sqref="B265" showDropDown="0" showInputMessage="0" showErrorMessage="0" allowBlank="1" type="list">
      <formula1>"Geen,Staand in toiletruimte,Staand in badkamer,Hangend in toiletruimte,Hangend in badkamer"</formula1>
    </dataValidation>
    <dataValidation sqref="B268" showDropDown="0" showInputMessage="0" showErrorMessage="0" allowBlank="1" type="list">
      <formula1>"J,N"</formula1>
    </dataValidation>
    <dataValidation sqref="B269" showDropDown="0" showInputMessage="0" showErrorMessage="0" allowBlank="1" type="list">
      <formula1>"J,N"</formula1>
    </dataValidation>
    <dataValidation sqref="B270" showDropDown="0" showInputMessage="0" showErrorMessage="0" allowBlank="1" type="list">
      <formula1>"J,N"</formula1>
    </dataValidation>
    <dataValidation sqref="B271" showDropDown="0" showInputMessage="0" showErrorMessage="0" allowBlank="1" type="list">
      <formula1>"J,N"</formula1>
    </dataValidation>
    <dataValidation sqref="B272" showDropDown="0" showInputMessage="0" showErrorMessage="0" allowBlank="1" type="list">
      <formula1>"J,N"</formula1>
    </dataValidation>
    <dataValidation sqref="B273" showDropDown="0" showInputMessage="0" showErrorMessage="0" allowBlank="1" type="list">
      <formula1>"J,N"</formula1>
    </dataValidation>
    <dataValidation sqref="B274" showDropDown="0" showInputMessage="0" showErrorMessage="0" allowBlank="1" type="list">
      <formula1>"J,N"</formula1>
    </dataValidation>
    <dataValidation sqref="B275" showDropDown="0" showInputMessage="0" showErrorMessage="0" allowBlank="1" type="list">
      <formula1>"J,N"</formula1>
    </dataValidation>
    <dataValidation sqref="B276" showDropDown="0" showInputMessage="0" showErrorMessage="0" allowBlank="1" type="list">
      <formula1>"J,N"</formula1>
    </dataValidation>
    <dataValidation sqref="B277" showDropDown="0" showInputMessage="0" showErrorMessage="0" allowBlank="1" type="list">
      <formula1>"J,N"</formula1>
    </dataValidation>
    <dataValidation sqref="B278" showDropDown="0" showInputMessage="0" showErrorMessage="0" allowBlank="1" type="list">
      <formula1>"J,N"</formula1>
    </dataValidation>
    <dataValidation sqref="B292" showDropDown="0" showInputMessage="0" showErrorMessage="0" allowBlank="1" type="list">
      <formula1>"J,N"</formula1>
    </dataValidation>
    <dataValidation sqref="C292" showDropDown="0" showInputMessage="0" showErrorMessage="0" allowBlank="1" type="list">
      <formula1>"J,N"</formula1>
    </dataValidation>
    <dataValidation sqref="D292" showDropDown="0" showInputMessage="0" showErrorMessage="0" allowBlank="1" type="list">
      <formula1>"J,N"</formula1>
    </dataValidation>
    <dataValidation sqref="E292" showDropDown="0" showInputMessage="0" showErrorMessage="0" allowBlank="1" type="list">
      <formula1>"J,N"</formula1>
    </dataValidation>
    <dataValidation sqref="F292" showDropDown="0" showInputMessage="0" showErrorMessage="0" allowBlank="1" type="list">
      <formula1>"J,N"</formula1>
    </dataValidation>
    <dataValidation sqref="G292" showDropDown="0" showInputMessage="0" showErrorMessage="0" allowBlank="1" type="list">
      <formula1>"J,N"</formula1>
    </dataValidation>
    <dataValidation sqref="H292" showDropDown="0" showInputMessage="0" showErrorMessage="0" allowBlank="1" type="list">
      <formula1>"J,N"</formula1>
    </dataValidation>
    <dataValidation sqref="I292" showDropDown="0" showInputMessage="0" showErrorMessage="0" allowBlank="1" type="list">
      <formula1>"J,N"</formula1>
    </dataValidation>
    <dataValidation sqref="J292" showDropDown="0" showInputMessage="0" showErrorMessage="0" allowBlank="1" type="list">
      <formula1>"J,N"</formula1>
    </dataValidation>
    <dataValidation sqref="K292" showDropDown="0" showInputMessage="0" showErrorMessage="0" allowBlank="1" type="list">
      <formula1>"J,N"</formula1>
    </dataValidation>
    <dataValidation sqref="L292" showDropDown="0" showInputMessage="0" showErrorMessage="0" allowBlank="1" type="list">
      <formula1>"J,N"</formula1>
    </dataValidation>
    <dataValidation sqref="M292" showDropDown="0" showInputMessage="0" showErrorMessage="0" allowBlank="1" type="list">
      <formula1>"J,N"</formula1>
    </dataValidation>
    <dataValidation sqref="B293" showDropDown="0" showInputMessage="0" showErrorMessage="0" allowBlank="1" type="list">
      <formula1>"J,N"</formula1>
    </dataValidation>
    <dataValidation sqref="C293" showDropDown="0" showInputMessage="0" showErrorMessage="0" allowBlank="1" type="list">
      <formula1>"J,N"</formula1>
    </dataValidation>
    <dataValidation sqref="D293" showDropDown="0" showInputMessage="0" showErrorMessage="0" allowBlank="1" type="list">
      <formula1>"J,N"</formula1>
    </dataValidation>
    <dataValidation sqref="E293" showDropDown="0" showInputMessage="0" showErrorMessage="0" allowBlank="1" type="list">
      <formula1>"J,N"</formula1>
    </dataValidation>
    <dataValidation sqref="F293" showDropDown="0" showInputMessage="0" showErrorMessage="0" allowBlank="1" type="list">
      <formula1>"J,N"</formula1>
    </dataValidation>
    <dataValidation sqref="G293" showDropDown="0" showInputMessage="0" showErrorMessage="0" allowBlank="1" type="list">
      <formula1>"J,N"</formula1>
    </dataValidation>
    <dataValidation sqref="H293" showDropDown="0" showInputMessage="0" showErrorMessage="0" allowBlank="1" type="list">
      <formula1>"J,N"</formula1>
    </dataValidation>
    <dataValidation sqref="I293" showDropDown="0" showInputMessage="0" showErrorMessage="0" allowBlank="1" type="list">
      <formula1>"J,N"</formula1>
    </dataValidation>
    <dataValidation sqref="J293" showDropDown="0" showInputMessage="0" showErrorMessage="0" allowBlank="1" type="list">
      <formula1>"J,N"</formula1>
    </dataValidation>
    <dataValidation sqref="K293" showDropDown="0" showInputMessage="0" showErrorMessage="0" allowBlank="1" type="list">
      <formula1>"J,N"</formula1>
    </dataValidation>
    <dataValidation sqref="L293" showDropDown="0" showInputMessage="0" showErrorMessage="0" allowBlank="1" type="list">
      <formula1>"J,N"</formula1>
    </dataValidation>
    <dataValidation sqref="M293" showDropDown="0" showInputMessage="0" showErrorMessage="0" allowBlank="1" type="list">
      <formula1>"J,N"</formula1>
    </dataValidation>
    <dataValidation sqref="B294" showDropDown="0" showInputMessage="0" showErrorMessage="0" allowBlank="1" type="list">
      <formula1>"J,N"</formula1>
    </dataValidation>
    <dataValidation sqref="C294" showDropDown="0" showInputMessage="0" showErrorMessage="0" allowBlank="1" type="list">
      <formula1>"J,N"</formula1>
    </dataValidation>
    <dataValidation sqref="D294" showDropDown="0" showInputMessage="0" showErrorMessage="0" allowBlank="1" type="list">
      <formula1>"J,N"</formula1>
    </dataValidation>
    <dataValidation sqref="E294" showDropDown="0" showInputMessage="0" showErrorMessage="0" allowBlank="1" type="list">
      <formula1>"J,N"</formula1>
    </dataValidation>
    <dataValidation sqref="F294" showDropDown="0" showInputMessage="0" showErrorMessage="0" allowBlank="1" type="list">
      <formula1>"J,N"</formula1>
    </dataValidation>
    <dataValidation sqref="G294" showDropDown="0" showInputMessage="0" showErrorMessage="0" allowBlank="1" type="list">
      <formula1>"J,N"</formula1>
    </dataValidation>
    <dataValidation sqref="H294" showDropDown="0" showInputMessage="0" showErrorMessage="0" allowBlank="1" type="list">
      <formula1>"J,N"</formula1>
    </dataValidation>
    <dataValidation sqref="I294" showDropDown="0" showInputMessage="0" showErrorMessage="0" allowBlank="1" type="list">
      <formula1>"J,N"</formula1>
    </dataValidation>
    <dataValidation sqref="J294" showDropDown="0" showInputMessage="0" showErrorMessage="0" allowBlank="1" type="list">
      <formula1>"J,N"</formula1>
    </dataValidation>
    <dataValidation sqref="K294" showDropDown="0" showInputMessage="0" showErrorMessage="0" allowBlank="1" type="list">
      <formula1>"J,N"</formula1>
    </dataValidation>
    <dataValidation sqref="L294" showDropDown="0" showInputMessage="0" showErrorMessage="0" allowBlank="1" type="list">
      <formula1>"J,N"</formula1>
    </dataValidation>
    <dataValidation sqref="M294" showDropDown="0" showInputMessage="0" showErrorMessage="0" allowBlank="1" type="list">
      <formula1>"J,N"</formula1>
    </dataValidation>
    <dataValidation sqref="B295" showDropDown="0" showInputMessage="0" showErrorMessage="0" allowBlank="1" type="list">
      <formula1>"J,N"</formula1>
    </dataValidation>
    <dataValidation sqref="C295" showDropDown="0" showInputMessage="0" showErrorMessage="0" allowBlank="1" type="list">
      <formula1>"J,N"</formula1>
    </dataValidation>
    <dataValidation sqref="D295" showDropDown="0" showInputMessage="0" showErrorMessage="0" allowBlank="1" type="list">
      <formula1>"J,N"</formula1>
    </dataValidation>
    <dataValidation sqref="E295" showDropDown="0" showInputMessage="0" showErrorMessage="0" allowBlank="1" type="list">
      <formula1>"J,N"</formula1>
    </dataValidation>
    <dataValidation sqref="F295" showDropDown="0" showInputMessage="0" showErrorMessage="0" allowBlank="1" type="list">
      <formula1>"J,N"</formula1>
    </dataValidation>
    <dataValidation sqref="G295" showDropDown="0" showInputMessage="0" showErrorMessage="0" allowBlank="1" type="list">
      <formula1>"J,N"</formula1>
    </dataValidation>
    <dataValidation sqref="H295" showDropDown="0" showInputMessage="0" showErrorMessage="0" allowBlank="1" type="list">
      <formula1>"J,N"</formula1>
    </dataValidation>
    <dataValidation sqref="I295" showDropDown="0" showInputMessage="0" showErrorMessage="0" allowBlank="1" type="list">
      <formula1>"J,N"</formula1>
    </dataValidation>
    <dataValidation sqref="J295" showDropDown="0" showInputMessage="0" showErrorMessage="0" allowBlank="1" type="list">
      <formula1>"J,N"</formula1>
    </dataValidation>
    <dataValidation sqref="K295" showDropDown="0" showInputMessage="0" showErrorMessage="0" allowBlank="1" type="list">
      <formula1>"J,N"</formula1>
    </dataValidation>
    <dataValidation sqref="L295" showDropDown="0" showInputMessage="0" showErrorMessage="0" allowBlank="1" type="list">
      <formula1>"J,N"</formula1>
    </dataValidation>
    <dataValidation sqref="M295" showDropDown="0" showInputMessage="0" showErrorMessage="0" allowBlank="1" type="list">
      <formula1>"J,N"</formula1>
    </dataValidation>
    <dataValidation sqref="B300" showDropDown="0" showInputMessage="0" showErrorMessage="0" allowBlank="1" type="list">
      <formula1>"Garage afgesloten,Overkapping+carport,Open parkeerplaats,Geen"</formula1>
    </dataValidation>
    <dataValidation sqref="B302" showDropDown="0" showInputMessage="0" showErrorMessage="0" allowBlank="1" type="list">
      <formula1>"J,N"</formula1>
    </dataValidation>
    <dataValidation sqref="B310" showDropDown="0" showInputMessage="0" showErrorMessage="0" allowBlank="1" type="list">
      <formula1>"J,N"</formula1>
    </dataValidation>
    <dataValidation sqref="B312" showDropDown="0" showInputMessage="0" showErrorMessage="0" allowBlank="1" type="list">
      <formula1>"J,N"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4" max="4"/>
    <col width="14" customWidth="1" min="5" max="5"/>
    <col width="32" customWidth="1" min="7" max="7"/>
    <col width="22" customWidth="1" min="8" max="8"/>
    <col width="30" customWidth="1" min="10" max="10"/>
    <col width="12" customWidth="1" min="11" max="11"/>
    <col width="24" customWidth="1" min="13" max="13"/>
    <col width="10" customWidth="1" min="14" max="14"/>
    <col width="34" customWidth="1" min="16" max="16"/>
  </cols>
  <sheetData>
    <row r="1">
      <c r="A1" s="24" t="inlineStr">
        <is>
          <t>Punten</t>
        </is>
      </c>
      <c r="B1" s="24" t="inlineStr">
        <is>
          <t>Max huurprijs (€)</t>
        </is>
      </c>
      <c r="D1" s="24" t="inlineStr">
        <is>
          <t>Energielabel</t>
        </is>
      </c>
      <c r="E1" s="24" t="inlineStr">
        <is>
          <t>Factor (pt/m²)</t>
        </is>
      </c>
      <c r="G1" s="24" t="inlineStr">
        <is>
          <t>COROP-gebied</t>
        </is>
      </c>
      <c r="H1" s="24" t="inlineStr">
        <is>
          <t>WOZ gem/m² (1-1-2026)</t>
        </is>
      </c>
      <c r="J1" s="24" t="inlineStr">
        <is>
          <t>Aanrecht max (m)</t>
        </is>
      </c>
      <c r="K1" s="24" t="inlineStr">
        <is>
          <t>Basispunten</t>
        </is>
      </c>
      <c r="M1" s="24" t="inlineStr">
        <is>
          <t>Parkeertype</t>
        </is>
      </c>
      <c r="N1" s="24" t="inlineStr">
        <is>
          <t>Punten</t>
        </is>
      </c>
      <c r="P1" s="24" t="inlineStr">
        <is>
          <t>COROP (lijst)</t>
        </is>
      </c>
    </row>
    <row r="2">
      <c r="A2" t="n">
        <v>0</v>
      </c>
      <c r="B2" s="25" t="n">
        <v>0</v>
      </c>
      <c r="D2" t="inlineStr">
        <is>
          <t>A++++</t>
        </is>
      </c>
      <c r="E2" t="n">
        <v>1</v>
      </c>
      <c r="G2" t="inlineStr">
        <is>
          <t>Oost-Groningen</t>
        </is>
      </c>
      <c r="H2" s="26" t="n">
        <v>2184</v>
      </c>
      <c r="J2" t="n">
        <v>2</v>
      </c>
      <c r="K2" t="n">
        <v>4</v>
      </c>
      <c r="M2" t="inlineStr">
        <is>
          <t>Garage (afgesloten)</t>
        </is>
      </c>
      <c r="N2" t="n">
        <v>9</v>
      </c>
      <c r="P2" t="inlineStr">
        <is>
          <t>Oost-Groningen</t>
        </is>
      </c>
    </row>
    <row r="3">
      <c r="A3" t="n">
        <v>1</v>
      </c>
      <c r="B3" s="25" t="n">
        <v>10.33</v>
      </c>
      <c r="D3" t="inlineStr">
        <is>
          <t>A+++</t>
        </is>
      </c>
      <c r="E3" t="n">
        <v>0.95</v>
      </c>
      <c r="G3" t="inlineStr">
        <is>
          <t>Delfzijl en omgeving</t>
        </is>
      </c>
      <c r="H3" s="26" t="n">
        <v>2015</v>
      </c>
      <c r="J3" t="n">
        <v>3</v>
      </c>
      <c r="K3" t="n">
        <v>7</v>
      </c>
      <c r="M3" t="inlineStr">
        <is>
          <t>Overkapping/carport</t>
        </is>
      </c>
      <c r="N3" t="n">
        <v>6</v>
      </c>
      <c r="P3" t="inlineStr">
        <is>
          <t>Delfzijl en omgeving</t>
        </is>
      </c>
    </row>
    <row r="4">
      <c r="A4" t="n">
        <v>2</v>
      </c>
      <c r="B4" s="25" t="n">
        <v>20.56</v>
      </c>
      <c r="D4" t="inlineStr">
        <is>
          <t>A++</t>
        </is>
      </c>
      <c r="E4" t="n">
        <v>0.85</v>
      </c>
      <c r="G4" t="inlineStr">
        <is>
          <t>Overig Groningen</t>
        </is>
      </c>
      <c r="H4" s="26" t="n">
        <v>2777</v>
      </c>
      <c r="J4" t="n">
        <v>5</v>
      </c>
      <c r="K4" t="n">
        <v>10</v>
      </c>
      <c r="M4" t="inlineStr">
        <is>
          <t>Open parkeerplaats</t>
        </is>
      </c>
      <c r="N4" t="n">
        <v>4</v>
      </c>
      <c r="P4" t="inlineStr">
        <is>
          <t>Overig Groningen</t>
        </is>
      </c>
    </row>
    <row r="5">
      <c r="A5" t="n">
        <v>3</v>
      </c>
      <c r="B5" s="25" t="n">
        <v>30.77</v>
      </c>
      <c r="D5" t="inlineStr">
        <is>
          <t>A+</t>
        </is>
      </c>
      <c r="E5" t="n">
        <v>0.75</v>
      </c>
      <c r="G5" t="inlineStr">
        <is>
          <t>Friesland (Noord)</t>
        </is>
      </c>
      <c r="H5" s="26" t="n">
        <v>2275</v>
      </c>
      <c r="J5" t="n">
        <v>99</v>
      </c>
      <c r="K5" t="n">
        <v>13</v>
      </c>
      <c r="M5" s="27" t="inlineStr">
        <is>
          <t>Bron: Beleidsboek WWSO onzelfstandig, januari 2026</t>
        </is>
      </c>
      <c r="P5" t="inlineStr">
        <is>
          <t>Friesland (Noord)</t>
        </is>
      </c>
    </row>
    <row r="6">
      <c r="A6" t="n">
        <v>4</v>
      </c>
      <c r="B6" s="25" t="n">
        <v>40.89</v>
      </c>
      <c r="D6" t="inlineStr">
        <is>
          <t>A</t>
        </is>
      </c>
      <c r="E6" t="n">
        <v>0.65</v>
      </c>
      <c r="G6" t="inlineStr">
        <is>
          <t>Friesland (Zuid-West)</t>
        </is>
      </c>
      <c r="H6" s="26" t="n">
        <v>2393</v>
      </c>
      <c r="J6" s="27" t="inlineStr">
        <is>
          <t>Bron: Beleidsboek WWSO onzelfstandig, januari 2026</t>
        </is>
      </c>
      <c r="P6" t="inlineStr">
        <is>
          <t>Friesland (Zuid-West)</t>
        </is>
      </c>
    </row>
    <row r="7">
      <c r="A7" t="n">
        <v>5</v>
      </c>
      <c r="B7" s="25" t="n">
        <v>51.12</v>
      </c>
      <c r="D7" t="inlineStr">
        <is>
          <t>B</t>
        </is>
      </c>
      <c r="E7" t="n">
        <v>0.5</v>
      </c>
      <c r="G7" t="inlineStr">
        <is>
          <t>Friesland (Zuid-Oost)</t>
        </is>
      </c>
      <c r="H7" s="26" t="n">
        <v>2583</v>
      </c>
      <c r="J7" s="24" t="inlineStr">
        <is>
          <t>Voorziening</t>
        </is>
      </c>
      <c r="K7" s="24" t="inlineStr">
        <is>
          <t>Punten</t>
        </is>
      </c>
      <c r="P7" t="inlineStr">
        <is>
          <t>Friesland (Zuid-Oost)</t>
        </is>
      </c>
    </row>
    <row r="8">
      <c r="A8" t="n">
        <v>6</v>
      </c>
      <c r="B8" s="25" t="n">
        <v>61.29</v>
      </c>
      <c r="D8" t="inlineStr">
        <is>
          <t>C</t>
        </is>
      </c>
      <c r="E8" t="n">
        <v>0.35</v>
      </c>
      <c r="G8" t="inlineStr">
        <is>
          <t>Drenthe (Noord)</t>
        </is>
      </c>
      <c r="H8" s="26" t="n">
        <v>2738</v>
      </c>
      <c r="J8" t="inlineStr">
        <is>
          <t>Afzuiginstallatie</t>
        </is>
      </c>
      <c r="K8" t="n">
        <v>0.75</v>
      </c>
      <c r="P8" t="inlineStr">
        <is>
          <t>Drenthe (Noord)</t>
        </is>
      </c>
    </row>
    <row r="9">
      <c r="A9" t="n">
        <v>7</v>
      </c>
      <c r="B9" s="25" t="n">
        <v>71.47</v>
      </c>
      <c r="D9" t="inlineStr">
        <is>
          <t>D</t>
        </is>
      </c>
      <c r="E9" t="n">
        <v>0.2</v>
      </c>
      <c r="G9" t="inlineStr">
        <is>
          <t>Drenthe (Zuid-Oost)</t>
        </is>
      </c>
      <c r="H9" s="26" t="n">
        <v>2269</v>
      </c>
      <c r="J9" t="inlineStr">
        <is>
          <t>Kookplaat inductie</t>
        </is>
      </c>
      <c r="K9" t="n">
        <v>1.75</v>
      </c>
      <c r="P9" t="inlineStr">
        <is>
          <t>Drenthe (Zuid-Oost)</t>
        </is>
      </c>
    </row>
    <row r="10">
      <c r="A10" t="n">
        <v>8</v>
      </c>
      <c r="B10" s="25" t="n">
        <v>81.62</v>
      </c>
      <c r="D10" t="inlineStr">
        <is>
          <t>E</t>
        </is>
      </c>
      <c r="E10" t="n">
        <v>-0.05</v>
      </c>
      <c r="G10" t="inlineStr">
        <is>
          <t>Drenthe (Zuid-West)</t>
        </is>
      </c>
      <c r="H10" s="26" t="n">
        <v>2640</v>
      </c>
      <c r="J10" t="inlineStr">
        <is>
          <t>Kookplaat keramisch</t>
        </is>
      </c>
      <c r="K10" t="n">
        <v>1</v>
      </c>
      <c r="P10" t="inlineStr">
        <is>
          <t>Drenthe (Zuid-West)</t>
        </is>
      </c>
    </row>
    <row r="11">
      <c r="A11" t="n">
        <v>9</v>
      </c>
      <c r="B11" s="25" t="n">
        <v>91.84999999999999</v>
      </c>
      <c r="D11" t="inlineStr">
        <is>
          <t>F</t>
        </is>
      </c>
      <c r="E11" t="n">
        <v>-0.1</v>
      </c>
      <c r="G11" t="inlineStr">
        <is>
          <t>Overijssel (Noord)</t>
        </is>
      </c>
      <c r="H11" s="26" t="n">
        <v>3065</v>
      </c>
      <c r="J11" t="inlineStr">
        <is>
          <t>Kookplaat gas</t>
        </is>
      </c>
      <c r="K11" t="n">
        <v>0.5</v>
      </c>
      <c r="P11" t="inlineStr">
        <is>
          <t>Overijssel (Noord)</t>
        </is>
      </c>
    </row>
    <row r="12">
      <c r="A12" t="n">
        <v>10</v>
      </c>
      <c r="B12" s="25" t="n">
        <v>102.06</v>
      </c>
      <c r="D12" t="inlineStr">
        <is>
          <t>G</t>
        </is>
      </c>
      <c r="E12" t="n">
        <v>-0.15</v>
      </c>
      <c r="G12" t="inlineStr">
        <is>
          <t>Overijssel (Zuid-West)</t>
        </is>
      </c>
      <c r="H12" s="26" t="n">
        <v>3326</v>
      </c>
      <c r="J12" t="inlineStr">
        <is>
          <t>Koelkast</t>
        </is>
      </c>
      <c r="K12" t="n">
        <v>1</v>
      </c>
      <c r="P12" t="inlineStr">
        <is>
          <t>Overijssel (Zuid-West)</t>
        </is>
      </c>
    </row>
    <row r="13">
      <c r="A13" t="n">
        <v>11</v>
      </c>
      <c r="B13" s="25" t="n">
        <v>112.23</v>
      </c>
      <c r="D13" s="27" t="inlineStr">
        <is>
          <t>Bron: Beleidsboek WWSO onzelfstandig, januari 2026</t>
        </is>
      </c>
      <c r="G13" t="inlineStr">
        <is>
          <t>Twente</t>
        </is>
      </c>
      <c r="H13" s="26" t="n">
        <v>2958</v>
      </c>
      <c r="J13" t="inlineStr">
        <is>
          <t>Vrieskast</t>
        </is>
      </c>
      <c r="K13" t="n">
        <v>0.75</v>
      </c>
      <c r="P13" t="inlineStr">
        <is>
          <t>Twente</t>
        </is>
      </c>
    </row>
    <row r="14">
      <c r="A14" t="n">
        <v>12</v>
      </c>
      <c r="B14" s="25" t="n">
        <v>122.38</v>
      </c>
      <c r="D14" s="24" t="inlineStr">
        <is>
          <t>Bouwjaar t/m</t>
        </is>
      </c>
      <c r="E14" s="24" t="inlineStr">
        <is>
          <t>Punten/m²</t>
        </is>
      </c>
      <c r="G14" t="inlineStr">
        <is>
          <t>Veluwe</t>
        </is>
      </c>
      <c r="H14" s="26" t="n">
        <v>3815</v>
      </c>
      <c r="J14" t="inlineStr">
        <is>
          <t>Oven elektrisch</t>
        </is>
      </c>
      <c r="K14" t="n">
        <v>1</v>
      </c>
      <c r="P14" t="inlineStr">
        <is>
          <t>Veluwe</t>
        </is>
      </c>
    </row>
    <row r="15">
      <c r="A15" t="n">
        <v>13</v>
      </c>
      <c r="B15" s="25" t="n">
        <v>132.57</v>
      </c>
      <c r="D15" t="n">
        <v>2099</v>
      </c>
      <c r="E15" t="n">
        <v>0.65</v>
      </c>
      <c r="G15" t="inlineStr">
        <is>
          <t>Achterhoek</t>
        </is>
      </c>
      <c r="H15" s="26" t="n">
        <v>2820</v>
      </c>
      <c r="J15" t="inlineStr">
        <is>
          <t>Oven gas</t>
        </is>
      </c>
      <c r="K15" t="n">
        <v>0.5</v>
      </c>
      <c r="P15" t="inlineStr">
        <is>
          <t>Achterhoek</t>
        </is>
      </c>
    </row>
    <row r="16">
      <c r="A16" t="n">
        <v>14</v>
      </c>
      <c r="B16" s="25" t="n">
        <v>142.76</v>
      </c>
      <c r="D16" t="n">
        <v>2001</v>
      </c>
      <c r="E16" t="n">
        <v>0.5</v>
      </c>
      <c r="G16" t="inlineStr">
        <is>
          <t>Arnhem/Nijmegen</t>
        </is>
      </c>
      <c r="H16" s="26" t="n">
        <v>3511</v>
      </c>
      <c r="J16" t="inlineStr">
        <is>
          <t>Magnetron</t>
        </is>
      </c>
      <c r="K16" t="n">
        <v>1</v>
      </c>
      <c r="P16" t="inlineStr">
        <is>
          <t>Arnhem/Nijmegen</t>
        </is>
      </c>
    </row>
    <row r="17">
      <c r="A17" t="n">
        <v>15</v>
      </c>
      <c r="B17" s="25" t="n">
        <v>152.92</v>
      </c>
      <c r="D17" t="n">
        <v>1999</v>
      </c>
      <c r="E17" t="n">
        <v>0.35</v>
      </c>
      <c r="G17" t="inlineStr">
        <is>
          <t>Gelderland (Zuid-West)</t>
        </is>
      </c>
      <c r="H17" s="26" t="n">
        <v>3403</v>
      </c>
      <c r="J17" t="inlineStr">
        <is>
          <t>Vaatwasmachine</t>
        </is>
      </c>
      <c r="K17" t="n">
        <v>1.5</v>
      </c>
      <c r="P17" t="inlineStr">
        <is>
          <t>Gelderland (Zuid-West)</t>
        </is>
      </c>
    </row>
    <row r="18">
      <c r="A18" t="n">
        <v>16</v>
      </c>
      <c r="B18" s="25" t="n">
        <v>163.13</v>
      </c>
      <c r="D18" t="n">
        <v>1991</v>
      </c>
      <c r="E18" t="n">
        <v>0.2</v>
      </c>
      <c r="G18" t="inlineStr">
        <is>
          <t>Utrecht</t>
        </is>
      </c>
      <c r="H18" s="26" t="n">
        <v>4684</v>
      </c>
      <c r="J18" t="inlineStr">
        <is>
          <t>Extra kastruimte (60cm)</t>
        </is>
      </c>
      <c r="K18" t="n">
        <v>0.75</v>
      </c>
      <c r="P18" t="inlineStr">
        <is>
          <t>Utrecht</t>
        </is>
      </c>
    </row>
    <row r="19">
      <c r="A19" t="n">
        <v>17</v>
      </c>
      <c r="B19" s="25" t="n">
        <v>173.33</v>
      </c>
      <c r="D19" t="n">
        <v>1983</v>
      </c>
      <c r="E19" t="n">
        <v>-0.05</v>
      </c>
      <c r="G19" t="inlineStr">
        <is>
          <t>Kop van Noord-Holland</t>
        </is>
      </c>
      <c r="H19" s="26" t="n">
        <v>3124</v>
      </c>
      <c r="J19" t="inlineStr">
        <is>
          <t>Éénhandsmengkraan</t>
        </is>
      </c>
      <c r="K19" t="n">
        <v>0.25</v>
      </c>
      <c r="P19" t="inlineStr">
        <is>
          <t>Kop van Noord-Holland</t>
        </is>
      </c>
    </row>
    <row r="20">
      <c r="A20" t="n">
        <v>18</v>
      </c>
      <c r="B20" s="25" t="n">
        <v>183.54</v>
      </c>
      <c r="D20" t="n">
        <v>1978</v>
      </c>
      <c r="E20" t="n">
        <v>-0.1</v>
      </c>
      <c r="G20" t="inlineStr">
        <is>
          <t>Alkmaar en omgeving</t>
        </is>
      </c>
      <c r="H20" s="26" t="n">
        <v>4164</v>
      </c>
      <c r="J20" t="inlineStr">
        <is>
          <t>Thermostatische mengkraan</t>
        </is>
      </c>
      <c r="K20" t="n">
        <v>0.5</v>
      </c>
      <c r="P20" t="inlineStr">
        <is>
          <t>Alkmaar en omgeving</t>
        </is>
      </c>
    </row>
    <row r="21">
      <c r="A21" t="n">
        <v>19</v>
      </c>
      <c r="B21" s="25" t="n">
        <v>193.63</v>
      </c>
      <c r="D21" t="n">
        <v>1976</v>
      </c>
      <c r="E21" t="n">
        <v>-0.15</v>
      </c>
      <c r="G21" t="inlineStr">
        <is>
          <t>IJmond</t>
        </is>
      </c>
      <c r="H21" s="26" t="n">
        <v>4206</v>
      </c>
      <c r="J21" t="inlineStr">
        <is>
          <t>Kokend-waterfunctie</t>
        </is>
      </c>
      <c r="K21" t="n">
        <v>0.5</v>
      </c>
      <c r="P21" t="inlineStr">
        <is>
          <t>IJmond</t>
        </is>
      </c>
    </row>
    <row r="22">
      <c r="A22" t="n">
        <v>20</v>
      </c>
      <c r="B22" s="25" t="n">
        <v>203.87</v>
      </c>
      <c r="D22" s="27" t="inlineStr">
        <is>
          <t>Bron: Beleidsboek WWSO onzelfstandig, januari 2026</t>
        </is>
      </c>
      <c r="G22" t="inlineStr">
        <is>
          <t>Agglomeratie Haarlem</t>
        </is>
      </c>
      <c r="H22" s="26" t="n">
        <v>5582</v>
      </c>
      <c r="J22" s="27" t="inlineStr">
        <is>
          <t>Bron: Beleidsboek WWSO onzelfstandig, januari 2026</t>
        </is>
      </c>
      <c r="P22" t="inlineStr">
        <is>
          <t>Agglomeratie Haarlem</t>
        </is>
      </c>
    </row>
    <row r="23">
      <c r="A23" t="n">
        <v>21</v>
      </c>
      <c r="B23" s="25" t="n">
        <v>214.04</v>
      </c>
      <c r="G23" t="inlineStr">
        <is>
          <t>Zaanstreek</t>
        </is>
      </c>
      <c r="H23" s="26" t="n">
        <v>4099</v>
      </c>
      <c r="J23" s="24" t="inlineStr">
        <is>
          <t>Sanitair</t>
        </is>
      </c>
      <c r="K23" s="24" t="inlineStr">
        <is>
          <t>Punten</t>
        </is>
      </c>
      <c r="P23" t="inlineStr">
        <is>
          <t>Zaanstreek</t>
        </is>
      </c>
    </row>
    <row r="24">
      <c r="A24" t="n">
        <v>22</v>
      </c>
      <c r="B24" s="25" t="n">
        <v>224.29</v>
      </c>
      <c r="G24" t="inlineStr">
        <is>
          <t>Groot Amsterdam</t>
        </is>
      </c>
      <c r="H24" s="26" t="n">
        <v>6378</v>
      </c>
      <c r="J24" t="inlineStr">
        <is>
          <t>Staand toilet toiletruimte</t>
        </is>
      </c>
      <c r="K24" t="n">
        <v>3</v>
      </c>
      <c r="P24" t="inlineStr">
        <is>
          <t>Groot Amsterdam</t>
        </is>
      </c>
    </row>
    <row r="25">
      <c r="A25" t="n">
        <v>23</v>
      </c>
      <c r="B25" s="25" t="n">
        <v>234.44</v>
      </c>
      <c r="G25" t="inlineStr">
        <is>
          <t>Het Gooi- en Vechtstreek</t>
        </is>
      </c>
      <c r="H25" s="26" t="n">
        <v>5100</v>
      </c>
      <c r="J25" t="inlineStr">
        <is>
          <t>Staand toilet badkamer</t>
        </is>
      </c>
      <c r="K25" t="n">
        <v>2</v>
      </c>
      <c r="P25" t="inlineStr">
        <is>
          <t>Het Gooi- en Vechtstreek</t>
        </is>
      </c>
    </row>
    <row r="26">
      <c r="A26" t="n">
        <v>24</v>
      </c>
      <c r="B26" s="25" t="n">
        <v>244.59</v>
      </c>
      <c r="G26" t="inlineStr">
        <is>
          <t>Agglomeratie Leiden en Bollenstreek</t>
        </is>
      </c>
      <c r="H26" s="26" t="n">
        <v>4668</v>
      </c>
      <c r="J26" t="inlineStr">
        <is>
          <t>Hangend toilet toiletruimte</t>
        </is>
      </c>
      <c r="K26" t="n">
        <v>3.75</v>
      </c>
      <c r="P26" t="inlineStr">
        <is>
          <t>Agglomeratie Leiden en Bollenstreek</t>
        </is>
      </c>
    </row>
    <row r="27">
      <c r="A27" t="n">
        <v>25</v>
      </c>
      <c r="B27" s="25" t="n">
        <v>254.83</v>
      </c>
      <c r="G27" t="inlineStr">
        <is>
          <t>Agglomeratie 's-Gravenhage</t>
        </is>
      </c>
      <c r="H27" s="26" t="n">
        <v>4342</v>
      </c>
      <c r="J27" t="inlineStr">
        <is>
          <t>Hangend toilet badkamer</t>
        </is>
      </c>
      <c r="K27" t="n">
        <v>2.75</v>
      </c>
      <c r="P27" t="inlineStr">
        <is>
          <t>Agglomeratie 's-Gravenhage</t>
        </is>
      </c>
    </row>
    <row r="28">
      <c r="A28" t="n">
        <v>26</v>
      </c>
      <c r="B28" s="25" t="n">
        <v>264.95</v>
      </c>
      <c r="G28" t="inlineStr">
        <is>
          <t>Delft en Westland</t>
        </is>
      </c>
      <c r="H28" s="26" t="n">
        <v>4386</v>
      </c>
      <c r="J28" t="inlineStr">
        <is>
          <t>Wastafel</t>
        </is>
      </c>
      <c r="K28" t="n">
        <v>1</v>
      </c>
      <c r="P28" t="inlineStr">
        <is>
          <t>Delft en Westland</t>
        </is>
      </c>
    </row>
    <row r="29">
      <c r="A29" t="n">
        <v>27</v>
      </c>
      <c r="B29" s="25" t="n">
        <v>275.1</v>
      </c>
      <c r="G29" t="inlineStr">
        <is>
          <t>Zuid-Holland (Oost)</t>
        </is>
      </c>
      <c r="H29" s="26" t="n">
        <v>3875</v>
      </c>
      <c r="J29" t="inlineStr">
        <is>
          <t>Meerpersoonswastafel</t>
        </is>
      </c>
      <c r="K29" t="n">
        <v>1.5</v>
      </c>
      <c r="P29" t="inlineStr">
        <is>
          <t>Zuid-Holland (Oost)</t>
        </is>
      </c>
    </row>
    <row r="30">
      <c r="A30" t="n">
        <v>28</v>
      </c>
      <c r="B30" s="25" t="n">
        <v>285.37</v>
      </c>
      <c r="G30" t="inlineStr">
        <is>
          <t>Groot-Rijnmond</t>
        </is>
      </c>
      <c r="H30" s="26" t="n">
        <v>3884</v>
      </c>
      <c r="J30" t="inlineStr">
        <is>
          <t>Douche</t>
        </is>
      </c>
      <c r="K30" t="n">
        <v>3</v>
      </c>
      <c r="P30" t="inlineStr">
        <is>
          <t>Groot-Rijnmond</t>
        </is>
      </c>
    </row>
    <row r="31">
      <c r="A31" t="n">
        <v>29</v>
      </c>
      <c r="B31" s="25" t="n">
        <v>295.54</v>
      </c>
      <c r="G31" t="inlineStr">
        <is>
          <t>Zuid-Holland (Zuidoost-Zuid)</t>
        </is>
      </c>
      <c r="H31" s="26" t="n">
        <v>3582</v>
      </c>
      <c r="J31" t="inlineStr">
        <is>
          <t>Bad</t>
        </is>
      </c>
      <c r="K31" t="n">
        <v>5</v>
      </c>
      <c r="P31" t="inlineStr">
        <is>
          <t>Zuid-Holland (Zuidoost-Zuid)</t>
        </is>
      </c>
    </row>
    <row r="32">
      <c r="A32" t="n">
        <v>30</v>
      </c>
      <c r="B32" s="25" t="n">
        <v>305.73</v>
      </c>
      <c r="G32" t="inlineStr">
        <is>
          <t>Zeeuwsch-Vlaanderen</t>
        </is>
      </c>
      <c r="H32" s="26" t="n">
        <v>2287</v>
      </c>
      <c r="J32" t="inlineStr">
        <is>
          <t>Bad+douche combinatie</t>
        </is>
      </c>
      <c r="K32" t="n">
        <v>6</v>
      </c>
      <c r="P32" t="inlineStr">
        <is>
          <t>Zeeuwsch-Vlaanderen</t>
        </is>
      </c>
    </row>
    <row r="33">
      <c r="A33" t="n">
        <v>31</v>
      </c>
      <c r="B33" s="25" t="n">
        <v>315.89</v>
      </c>
      <c r="G33" t="inlineStr">
        <is>
          <t>Overig Zeeland</t>
        </is>
      </c>
      <c r="H33" s="26" t="n">
        <v>2806</v>
      </c>
      <c r="J33" s="27" t="inlineStr">
        <is>
          <t>Bron: Beleidsboek WWSO onzelfstandig, januari 2026</t>
        </is>
      </c>
      <c r="P33" t="inlineStr">
        <is>
          <t>Overig Zeeland</t>
        </is>
      </c>
    </row>
    <row r="34">
      <c r="A34" t="n">
        <v>32</v>
      </c>
      <c r="B34" s="25" t="n">
        <v>326.12</v>
      </c>
      <c r="G34" t="inlineStr">
        <is>
          <t>Brabant (West-Noord)</t>
        </is>
      </c>
      <c r="H34" s="26" t="n">
        <v>3323</v>
      </c>
      <c r="J34" s="24" t="inlineStr">
        <is>
          <t>Sanitair extra</t>
        </is>
      </c>
      <c r="K34" s="24" t="inlineStr">
        <is>
          <t>Punten</t>
        </is>
      </c>
      <c r="P34" t="inlineStr">
        <is>
          <t>Brabant (West-Noord)</t>
        </is>
      </c>
    </row>
    <row r="35">
      <c r="A35" t="n">
        <v>33</v>
      </c>
      <c r="B35" s="25" t="n">
        <v>336.29</v>
      </c>
      <c r="G35" t="inlineStr">
        <is>
          <t>Brabant (Midden-Noord)</t>
        </is>
      </c>
      <c r="H35" s="26" t="n">
        <v>3370</v>
      </c>
      <c r="J35" t="inlineStr">
        <is>
          <t>Bubbelfunctie bad</t>
        </is>
      </c>
      <c r="K35" t="n">
        <v>1.5</v>
      </c>
      <c r="P35" t="inlineStr">
        <is>
          <t>Brabant (Midden-Noord)</t>
        </is>
      </c>
    </row>
    <row r="36">
      <c r="A36" t="n">
        <v>34</v>
      </c>
      <c r="B36" s="25" t="n">
        <v>346.45</v>
      </c>
      <c r="G36" t="inlineStr">
        <is>
          <t>Brabant (Noordoost-Noord)</t>
        </is>
      </c>
      <c r="H36" s="26" t="n">
        <v>3456</v>
      </c>
      <c r="J36" t="inlineStr">
        <is>
          <t>Doucheafscheiding volledig</t>
        </is>
      </c>
      <c r="K36" t="n">
        <v>1.25</v>
      </c>
      <c r="P36" t="inlineStr">
        <is>
          <t>Brabant (Noordoost-Noord)</t>
        </is>
      </c>
    </row>
    <row r="37">
      <c r="A37" t="n">
        <v>35</v>
      </c>
      <c r="B37" s="25" t="n">
        <v>356.69</v>
      </c>
      <c r="G37" t="inlineStr">
        <is>
          <t>Brabant (Zuidoost-Noord)</t>
        </is>
      </c>
      <c r="H37" s="26" t="n">
        <v>3531</v>
      </c>
      <c r="J37" t="inlineStr">
        <is>
          <t>Handdoekenradiator</t>
        </is>
      </c>
      <c r="K37" t="n">
        <v>0.75</v>
      </c>
      <c r="P37" t="inlineStr">
        <is>
          <t>Brabant (Zuidoost-Noord)</t>
        </is>
      </c>
    </row>
    <row r="38">
      <c r="A38" t="n">
        <v>36</v>
      </c>
      <c r="B38" s="25" t="n">
        <v>366.9</v>
      </c>
      <c r="G38" t="inlineStr">
        <is>
          <t>Limburg (Noord)</t>
        </is>
      </c>
      <c r="H38" s="26" t="n">
        <v>2693</v>
      </c>
      <c r="J38" t="inlineStr">
        <is>
          <t>Ingebouwd kastje+wastafel</t>
        </is>
      </c>
      <c r="K38" t="n">
        <v>1</v>
      </c>
      <c r="P38" t="inlineStr">
        <is>
          <t>Limburg (Noord)</t>
        </is>
      </c>
    </row>
    <row r="39">
      <c r="A39" t="n">
        <v>37</v>
      </c>
      <c r="B39" s="25" t="n">
        <v>377.02</v>
      </c>
      <c r="G39" t="inlineStr">
        <is>
          <t>Limburg (Midden)</t>
        </is>
      </c>
      <c r="H39" s="26" t="n">
        <v>2633</v>
      </c>
      <c r="J39" t="inlineStr">
        <is>
          <t>Kastruimte (min 40cm)</t>
        </is>
      </c>
      <c r="K39" t="n">
        <v>0.75</v>
      </c>
      <c r="P39" t="inlineStr">
        <is>
          <t>Limburg (Midden)</t>
        </is>
      </c>
    </row>
    <row r="40">
      <c r="A40" t="n">
        <v>38</v>
      </c>
      <c r="B40" s="25" t="n">
        <v>387.18</v>
      </c>
      <c r="G40" t="inlineStr">
        <is>
          <t>Limburg (Zuid)</t>
        </is>
      </c>
      <c r="H40" s="26" t="n">
        <v>2486</v>
      </c>
      <c r="J40" t="inlineStr">
        <is>
          <t>Stopcontact (per stuk)</t>
        </is>
      </c>
      <c r="K40" t="n">
        <v>0.25</v>
      </c>
      <c r="P40" t="inlineStr">
        <is>
          <t>Limburg (Zuid)</t>
        </is>
      </c>
    </row>
    <row r="41">
      <c r="A41" t="n">
        <v>39</v>
      </c>
      <c r="B41" s="25" t="n">
        <v>397.42</v>
      </c>
      <c r="G41" t="inlineStr">
        <is>
          <t>Flevoland</t>
        </is>
      </c>
      <c r="H41" s="26" t="n">
        <v>3310</v>
      </c>
      <c r="J41" t="inlineStr">
        <is>
          <t>Éénhandsmengkraan</t>
        </is>
      </c>
      <c r="K41" t="n">
        <v>0.25</v>
      </c>
      <c r="P41" t="inlineStr">
        <is>
          <t>Flevoland</t>
        </is>
      </c>
    </row>
    <row r="42">
      <c r="A42" t="n">
        <v>40</v>
      </c>
      <c r="B42" s="25" t="n">
        <v>407.58</v>
      </c>
      <c r="G42" s="27" t="inlineStr">
        <is>
          <t>Bron: Beleidsboek WWSO onzelfstandig, januari 2026</t>
        </is>
      </c>
      <c r="J42" t="inlineStr">
        <is>
          <t>Thermostatische mengkraan</t>
        </is>
      </c>
      <c r="K42" t="n">
        <v>0.5</v>
      </c>
    </row>
    <row r="43">
      <c r="A43" t="n">
        <v>41</v>
      </c>
      <c r="B43" s="25" t="n">
        <v>417.73</v>
      </c>
      <c r="J43" s="27" t="inlineStr">
        <is>
          <t>Bron: Beleidsboek WWSO onzelfstandig, januari 2026</t>
        </is>
      </c>
    </row>
    <row r="44">
      <c r="A44" t="n">
        <v>42</v>
      </c>
      <c r="B44" s="25" t="n">
        <v>427.95</v>
      </c>
    </row>
    <row r="45">
      <c r="A45" t="n">
        <v>43</v>
      </c>
      <c r="B45" s="25" t="n">
        <v>438.17</v>
      </c>
    </row>
    <row r="46">
      <c r="A46" t="n">
        <v>44</v>
      </c>
      <c r="B46" s="25" t="n">
        <v>448.3</v>
      </c>
    </row>
    <row r="47">
      <c r="A47" t="n">
        <v>45</v>
      </c>
      <c r="B47" s="25" t="n">
        <v>458.46</v>
      </c>
    </row>
    <row r="48">
      <c r="A48" t="n">
        <v>46</v>
      </c>
      <c r="B48" s="25" t="n">
        <v>468.73</v>
      </c>
    </row>
    <row r="49">
      <c r="A49" t="n">
        <v>47</v>
      </c>
      <c r="B49" s="25" t="n">
        <v>478.86</v>
      </c>
    </row>
    <row r="50">
      <c r="A50" t="n">
        <v>48</v>
      </c>
      <c r="B50" s="25" t="n">
        <v>489.09</v>
      </c>
    </row>
    <row r="51">
      <c r="A51" t="n">
        <v>49</v>
      </c>
      <c r="B51" s="25" t="n">
        <v>499.27</v>
      </c>
    </row>
    <row r="52">
      <c r="A52" t="n">
        <v>50</v>
      </c>
      <c r="B52" s="25" t="n">
        <v>509.44</v>
      </c>
    </row>
    <row r="53">
      <c r="A53" t="n">
        <v>51</v>
      </c>
      <c r="B53" s="25" t="n">
        <v>519.58</v>
      </c>
    </row>
    <row r="54">
      <c r="A54" t="n">
        <v>52</v>
      </c>
      <c r="B54" s="25" t="n">
        <v>529.8</v>
      </c>
    </row>
    <row r="55">
      <c r="A55" t="n">
        <v>53</v>
      </c>
      <c r="B55" s="25" t="n">
        <v>539.99</v>
      </c>
    </row>
    <row r="56">
      <c r="A56" t="n">
        <v>54</v>
      </c>
      <c r="B56" s="25" t="n">
        <v>550.1900000000001</v>
      </c>
    </row>
    <row r="57">
      <c r="A57" t="n">
        <v>55</v>
      </c>
      <c r="B57" s="25" t="n">
        <v>560.36</v>
      </c>
    </row>
    <row r="58">
      <c r="A58" t="n">
        <v>56</v>
      </c>
      <c r="B58" s="25" t="n">
        <v>570.54</v>
      </c>
    </row>
    <row r="59">
      <c r="A59" t="n">
        <v>57</v>
      </c>
      <c r="B59" s="25" t="n">
        <v>580.7</v>
      </c>
    </row>
    <row r="60">
      <c r="A60" t="n">
        <v>58</v>
      </c>
      <c r="B60" s="25" t="n">
        <v>590.95</v>
      </c>
    </row>
    <row r="61">
      <c r="A61" t="n">
        <v>59</v>
      </c>
      <c r="B61" s="25" t="n">
        <v>601.0599999999999</v>
      </c>
    </row>
    <row r="62">
      <c r="A62" t="n">
        <v>60</v>
      </c>
      <c r="B62" s="25" t="n">
        <v>611.28</v>
      </c>
    </row>
    <row r="63">
      <c r="A63" t="n">
        <v>61</v>
      </c>
      <c r="B63" s="25" t="n">
        <v>616.58</v>
      </c>
    </row>
    <row r="64">
      <c r="A64" t="n">
        <v>62</v>
      </c>
      <c r="B64" s="25" t="n">
        <v>621.84</v>
      </c>
    </row>
    <row r="65">
      <c r="A65" t="n">
        <v>63</v>
      </c>
      <c r="B65" s="25" t="n">
        <v>627.09</v>
      </c>
    </row>
    <row r="66">
      <c r="A66" t="n">
        <v>64</v>
      </c>
      <c r="B66" s="25" t="n">
        <v>632.41</v>
      </c>
    </row>
    <row r="67">
      <c r="A67" t="n">
        <v>65</v>
      </c>
      <c r="B67" s="25" t="n">
        <v>637.63</v>
      </c>
    </row>
    <row r="68">
      <c r="A68" t="n">
        <v>66</v>
      </c>
      <c r="B68" s="25" t="n">
        <v>642.97</v>
      </c>
    </row>
    <row r="69">
      <c r="A69" t="n">
        <v>67</v>
      </c>
      <c r="B69" s="25" t="n">
        <v>648.24</v>
      </c>
    </row>
    <row r="70">
      <c r="A70" t="n">
        <v>68</v>
      </c>
      <c r="B70" s="25" t="n">
        <v>653.4400000000001</v>
      </c>
    </row>
    <row r="71">
      <c r="A71" t="n">
        <v>69</v>
      </c>
      <c r="B71" s="25" t="n">
        <v>658.79</v>
      </c>
    </row>
    <row r="72">
      <c r="A72" t="n">
        <v>70</v>
      </c>
      <c r="B72" s="25" t="n">
        <v>664.02</v>
      </c>
    </row>
    <row r="73">
      <c r="A73" t="n">
        <v>71</v>
      </c>
      <c r="B73" s="25" t="n">
        <v>669.35</v>
      </c>
    </row>
    <row r="74">
      <c r="A74" t="n">
        <v>72</v>
      </c>
      <c r="B74" s="25" t="n">
        <v>674.58</v>
      </c>
    </row>
    <row r="75">
      <c r="A75" t="n">
        <v>73</v>
      </c>
      <c r="B75" s="25" t="n">
        <v>679.91</v>
      </c>
    </row>
    <row r="76">
      <c r="A76" t="n">
        <v>74</v>
      </c>
      <c r="B76" s="25" t="n">
        <v>685.17</v>
      </c>
    </row>
    <row r="77">
      <c r="A77" t="n">
        <v>75</v>
      </c>
      <c r="B77" s="25" t="n">
        <v>690.38</v>
      </c>
    </row>
    <row r="78">
      <c r="A78" t="n">
        <v>76</v>
      </c>
      <c r="B78" s="25" t="n">
        <v>695.67</v>
      </c>
    </row>
    <row r="79">
      <c r="A79" t="n">
        <v>77</v>
      </c>
      <c r="B79" s="25" t="n">
        <v>700.9400000000001</v>
      </c>
    </row>
    <row r="80">
      <c r="A80" t="n">
        <v>78</v>
      </c>
      <c r="B80" s="25" t="n">
        <v>706.23</v>
      </c>
    </row>
    <row r="81">
      <c r="A81" t="n">
        <v>79</v>
      </c>
      <c r="B81" s="25" t="n">
        <v>711.49</v>
      </c>
    </row>
    <row r="82">
      <c r="A82" t="n">
        <v>80</v>
      </c>
      <c r="B82" s="25" t="n">
        <v>716.8</v>
      </c>
    </row>
    <row r="83">
      <c r="A83" t="n">
        <v>81</v>
      </c>
      <c r="B83" s="25" t="n">
        <v>722.09</v>
      </c>
    </row>
    <row r="84">
      <c r="A84" t="n">
        <v>82</v>
      </c>
      <c r="B84" s="25" t="n">
        <v>727.34</v>
      </c>
    </row>
    <row r="85">
      <c r="A85" t="n">
        <v>83</v>
      </c>
      <c r="B85" s="25" t="n">
        <v>732.6</v>
      </c>
    </row>
    <row r="86">
      <c r="A86" t="n">
        <v>84</v>
      </c>
      <c r="B86" s="25" t="n">
        <v>737.95</v>
      </c>
    </row>
    <row r="87">
      <c r="A87" t="n">
        <v>85</v>
      </c>
      <c r="B87" s="25" t="n">
        <v>743.13</v>
      </c>
    </row>
    <row r="88">
      <c r="A88" t="n">
        <v>86</v>
      </c>
      <c r="B88" s="25" t="n">
        <v>748.46</v>
      </c>
    </row>
    <row r="89">
      <c r="A89" t="n">
        <v>87</v>
      </c>
      <c r="B89" s="25" t="n">
        <v>753.67</v>
      </c>
    </row>
    <row r="90">
      <c r="A90" t="n">
        <v>88</v>
      </c>
      <c r="B90" s="25" t="n">
        <v>759</v>
      </c>
    </row>
    <row r="91">
      <c r="A91" t="n">
        <v>89</v>
      </c>
      <c r="B91" s="25" t="n">
        <v>764.3</v>
      </c>
    </row>
    <row r="92">
      <c r="A92" t="n">
        <v>90</v>
      </c>
      <c r="B92" s="25" t="n">
        <v>769.54</v>
      </c>
    </row>
    <row r="93">
      <c r="A93" t="n">
        <v>91</v>
      </c>
      <c r="B93" s="25" t="n">
        <v>774.8099999999999</v>
      </c>
    </row>
    <row r="94">
      <c r="A94" t="n">
        <v>92</v>
      </c>
      <c r="B94" s="25" t="n">
        <v>780.09</v>
      </c>
    </row>
    <row r="95">
      <c r="A95" t="n">
        <v>93</v>
      </c>
      <c r="B95" s="25" t="n">
        <v>785.36</v>
      </c>
    </row>
    <row r="96">
      <c r="A96" t="n">
        <v>94</v>
      </c>
      <c r="B96" s="25" t="n">
        <v>790.62</v>
      </c>
    </row>
    <row r="97">
      <c r="A97" t="n">
        <v>95</v>
      </c>
      <c r="B97" s="25" t="n">
        <v>795.9</v>
      </c>
    </row>
    <row r="98">
      <c r="A98" t="n">
        <v>96</v>
      </c>
      <c r="B98" s="25" t="n">
        <v>801.2</v>
      </c>
    </row>
    <row r="99">
      <c r="A99" t="n">
        <v>97</v>
      </c>
      <c r="B99" s="25" t="n">
        <v>806.5</v>
      </c>
    </row>
    <row r="100">
      <c r="A100" t="n">
        <v>98</v>
      </c>
      <c r="B100" s="25" t="n">
        <v>811.77</v>
      </c>
    </row>
    <row r="101">
      <c r="A101" t="n">
        <v>99</v>
      </c>
      <c r="B101" s="25" t="n">
        <v>817.05</v>
      </c>
    </row>
    <row r="102">
      <c r="A102" t="n">
        <v>100</v>
      </c>
      <c r="B102" s="25" t="n">
        <v>822.35</v>
      </c>
    </row>
    <row r="103">
      <c r="A103" t="n">
        <v>101</v>
      </c>
      <c r="B103" s="25" t="n">
        <v>827.5599999999999</v>
      </c>
    </row>
    <row r="104">
      <c r="A104" t="n">
        <v>102</v>
      </c>
      <c r="B104" s="25" t="n">
        <v>832.87</v>
      </c>
    </row>
    <row r="105">
      <c r="A105" t="n">
        <v>103</v>
      </c>
      <c r="B105" s="25" t="n">
        <v>838.13</v>
      </c>
    </row>
    <row r="106">
      <c r="A106" t="n">
        <v>104</v>
      </c>
      <c r="B106" s="25" t="n">
        <v>843.38</v>
      </c>
    </row>
    <row r="107">
      <c r="A107" t="n">
        <v>105</v>
      </c>
      <c r="B107" s="25" t="n">
        <v>848.66</v>
      </c>
    </row>
    <row r="108">
      <c r="A108" t="n">
        <v>106</v>
      </c>
      <c r="B108" s="25" t="n">
        <v>853.95</v>
      </c>
    </row>
    <row r="109">
      <c r="A109" t="n">
        <v>107</v>
      </c>
      <c r="B109" s="25" t="n">
        <v>859.2</v>
      </c>
    </row>
    <row r="110">
      <c r="A110" t="n">
        <v>108</v>
      </c>
      <c r="B110" s="25" t="n">
        <v>864.55</v>
      </c>
    </row>
    <row r="111">
      <c r="A111" t="n">
        <v>109</v>
      </c>
      <c r="B111" s="25" t="n">
        <v>869.74</v>
      </c>
    </row>
    <row r="112">
      <c r="A112" t="n">
        <v>110</v>
      </c>
      <c r="B112" s="25" t="n">
        <v>875.11</v>
      </c>
    </row>
    <row r="113">
      <c r="A113" t="n">
        <v>111</v>
      </c>
      <c r="B113" s="25" t="n">
        <v>880.3099999999999</v>
      </c>
    </row>
    <row r="114">
      <c r="A114" t="n">
        <v>112</v>
      </c>
      <c r="B114" s="25" t="n">
        <v>885.6</v>
      </c>
    </row>
    <row r="115">
      <c r="A115" t="n">
        <v>113</v>
      </c>
      <c r="B115" s="25" t="n">
        <v>890.88</v>
      </c>
    </row>
    <row r="116">
      <c r="A116" t="n">
        <v>114</v>
      </c>
      <c r="B116" s="25" t="n">
        <v>896.12</v>
      </c>
    </row>
    <row r="117">
      <c r="A117" t="n">
        <v>115</v>
      </c>
      <c r="B117" s="25" t="n">
        <v>901.4299999999999</v>
      </c>
    </row>
    <row r="118">
      <c r="A118" t="n">
        <v>116</v>
      </c>
      <c r="B118" s="25" t="n">
        <v>906.72</v>
      </c>
    </row>
    <row r="119">
      <c r="A119" t="n">
        <v>117</v>
      </c>
      <c r="B119" s="25" t="n">
        <v>911.9299999999999</v>
      </c>
    </row>
    <row r="120">
      <c r="A120" t="n">
        <v>118</v>
      </c>
      <c r="B120" s="25" t="n">
        <v>917.25</v>
      </c>
    </row>
    <row r="121">
      <c r="A121" t="n">
        <v>119</v>
      </c>
      <c r="B121" s="25" t="n">
        <v>922.5</v>
      </c>
    </row>
    <row r="122">
      <c r="A122" t="n">
        <v>120</v>
      </c>
      <c r="B122" s="25" t="n">
        <v>927.76</v>
      </c>
    </row>
    <row r="123">
      <c r="A123" t="n">
        <v>121</v>
      </c>
      <c r="B123" s="25" t="n">
        <v>933.11</v>
      </c>
    </row>
    <row r="124">
      <c r="A124" t="n">
        <v>122</v>
      </c>
      <c r="B124" s="25" t="n">
        <v>938.38</v>
      </c>
    </row>
    <row r="125">
      <c r="A125" t="n">
        <v>123</v>
      </c>
      <c r="B125" s="25" t="n">
        <v>943.66</v>
      </c>
    </row>
    <row r="126">
      <c r="A126" t="n">
        <v>124</v>
      </c>
      <c r="B126" s="25" t="n">
        <v>948.9299999999999</v>
      </c>
    </row>
    <row r="127">
      <c r="A127" t="n">
        <v>125</v>
      </c>
      <c r="B127" s="25" t="n">
        <v>954.22</v>
      </c>
    </row>
    <row r="128">
      <c r="A128" t="n">
        <v>126</v>
      </c>
      <c r="B128" s="25" t="n">
        <v>959.49</v>
      </c>
    </row>
    <row r="129">
      <c r="A129" t="n">
        <v>127</v>
      </c>
      <c r="B129" s="25" t="n">
        <v>964.72</v>
      </c>
    </row>
    <row r="130">
      <c r="A130" t="n">
        <v>128</v>
      </c>
      <c r="B130" s="25" t="n">
        <v>970.03</v>
      </c>
    </row>
    <row r="131">
      <c r="A131" t="n">
        <v>129</v>
      </c>
      <c r="B131" s="25" t="n">
        <v>975.3200000000001</v>
      </c>
    </row>
    <row r="132">
      <c r="A132" t="n">
        <v>130</v>
      </c>
      <c r="B132" s="25" t="n">
        <v>980.64</v>
      </c>
    </row>
    <row r="133">
      <c r="A133" t="n">
        <v>131</v>
      </c>
      <c r="B133" s="25" t="n">
        <v>985.86</v>
      </c>
    </row>
    <row r="134">
      <c r="A134" t="n">
        <v>132</v>
      </c>
      <c r="B134" s="25" t="n">
        <v>991.17</v>
      </c>
    </row>
    <row r="135">
      <c r="A135" t="n">
        <v>133</v>
      </c>
      <c r="B135" s="25" t="n">
        <v>996.41</v>
      </c>
    </row>
    <row r="136">
      <c r="A136" t="n">
        <v>134</v>
      </c>
      <c r="B136" s="25" t="n">
        <v>1001.61</v>
      </c>
    </row>
    <row r="137">
      <c r="A137" t="n">
        <v>135</v>
      </c>
      <c r="B137" s="25" t="n">
        <v>1006.93</v>
      </c>
    </row>
    <row r="138">
      <c r="A138" t="n">
        <v>136</v>
      </c>
      <c r="B138" s="25" t="n">
        <v>1012.22</v>
      </c>
    </row>
    <row r="139">
      <c r="A139" t="n">
        <v>137</v>
      </c>
      <c r="B139" s="25" t="n">
        <v>1017.52</v>
      </c>
    </row>
    <row r="140">
      <c r="A140" t="n">
        <v>138</v>
      </c>
      <c r="B140" s="25" t="n">
        <v>1022.77</v>
      </c>
    </row>
    <row r="141">
      <c r="A141" t="n">
        <v>139</v>
      </c>
      <c r="B141" s="25" t="n">
        <v>1028.04</v>
      </c>
    </row>
    <row r="142">
      <c r="A142" t="n">
        <v>140</v>
      </c>
      <c r="B142" s="25" t="n">
        <v>1033.34</v>
      </c>
    </row>
    <row r="143">
      <c r="A143" t="n">
        <v>141</v>
      </c>
      <c r="B143" s="25" t="n">
        <v>1038.58</v>
      </c>
    </row>
    <row r="144">
      <c r="A144" t="n">
        <v>142</v>
      </c>
      <c r="B144" s="25" t="n">
        <v>1043.83</v>
      </c>
    </row>
    <row r="145">
      <c r="A145" t="n">
        <v>143</v>
      </c>
      <c r="B145" s="25" t="n">
        <v>1049.18</v>
      </c>
    </row>
    <row r="146">
      <c r="A146" t="n">
        <v>144</v>
      </c>
      <c r="B146" s="25" t="n">
        <v>1054.44</v>
      </c>
    </row>
    <row r="147">
      <c r="A147" t="n">
        <v>145</v>
      </c>
      <c r="B147" s="25" t="n">
        <v>1059.71</v>
      </c>
    </row>
    <row r="148">
      <c r="A148" t="n">
        <v>146</v>
      </c>
      <c r="B148" s="25" t="n">
        <v>1065</v>
      </c>
    </row>
    <row r="149">
      <c r="A149" t="n">
        <v>147</v>
      </c>
      <c r="B149" s="25" t="n">
        <v>1070.25</v>
      </c>
    </row>
    <row r="150">
      <c r="A150" t="n">
        <v>148</v>
      </c>
      <c r="B150" s="25" t="n">
        <v>1075.55</v>
      </c>
    </row>
    <row r="151">
      <c r="A151" t="n">
        <v>149</v>
      </c>
      <c r="B151" s="25" t="n">
        <v>1080.84</v>
      </c>
    </row>
    <row r="152">
      <c r="A152" t="n">
        <v>150</v>
      </c>
      <c r="B152" s="25" t="n">
        <v>1086.1</v>
      </c>
    </row>
    <row r="153">
      <c r="A153" t="n">
        <v>151</v>
      </c>
      <c r="B153" s="25" t="n">
        <v>1091.41</v>
      </c>
    </row>
    <row r="154">
      <c r="A154" t="n">
        <v>152</v>
      </c>
      <c r="B154" s="25" t="n">
        <v>1096.66</v>
      </c>
    </row>
    <row r="155">
      <c r="A155" t="n">
        <v>153</v>
      </c>
      <c r="B155" s="25" t="n">
        <v>1101.93</v>
      </c>
    </row>
    <row r="156">
      <c r="A156" t="n">
        <v>154</v>
      </c>
      <c r="B156" s="25" t="n">
        <v>1107.14</v>
      </c>
    </row>
    <row r="157">
      <c r="A157" t="n">
        <v>155</v>
      </c>
      <c r="B157" s="25" t="n">
        <v>1112.46</v>
      </c>
    </row>
    <row r="158">
      <c r="A158" t="n">
        <v>156</v>
      </c>
      <c r="B158" s="25" t="n">
        <v>1117.68</v>
      </c>
    </row>
    <row r="159">
      <c r="A159" t="n">
        <v>157</v>
      </c>
      <c r="B159" s="25" t="n">
        <v>1123.03</v>
      </c>
    </row>
    <row r="160">
      <c r="A160" t="n">
        <v>158</v>
      </c>
      <c r="B160" s="25" t="n">
        <v>1128.27</v>
      </c>
    </row>
    <row r="161">
      <c r="A161" t="n">
        <v>159</v>
      </c>
      <c r="B161" s="25" t="n">
        <v>1133.6</v>
      </c>
    </row>
    <row r="162">
      <c r="A162" t="n">
        <v>160</v>
      </c>
      <c r="B162" s="25" t="n">
        <v>1138.85</v>
      </c>
    </row>
    <row r="163">
      <c r="A163" t="n">
        <v>161</v>
      </c>
      <c r="B163" s="25" t="n">
        <v>1144.08</v>
      </c>
    </row>
    <row r="164">
      <c r="A164" t="n">
        <v>162</v>
      </c>
      <c r="B164" s="25" t="n">
        <v>1149.44</v>
      </c>
    </row>
    <row r="165">
      <c r="A165" t="n">
        <v>163</v>
      </c>
      <c r="B165" s="25" t="n">
        <v>1154.61</v>
      </c>
    </row>
    <row r="166">
      <c r="A166" t="n">
        <v>164</v>
      </c>
      <c r="B166" s="25" t="n">
        <v>1159.96</v>
      </c>
    </row>
    <row r="167">
      <c r="A167" t="n">
        <v>165</v>
      </c>
      <c r="B167" s="25" t="n">
        <v>1165.22</v>
      </c>
    </row>
    <row r="168">
      <c r="A168" t="n">
        <v>166</v>
      </c>
      <c r="B168" s="25" t="n">
        <v>1170.5</v>
      </c>
    </row>
    <row r="169">
      <c r="A169" t="n">
        <v>167</v>
      </c>
      <c r="B169" s="25" t="n">
        <v>1175.77</v>
      </c>
    </row>
    <row r="170">
      <c r="A170" t="n">
        <v>168</v>
      </c>
      <c r="B170" s="25" t="n">
        <v>1181.04</v>
      </c>
    </row>
    <row r="171">
      <c r="A171" t="n">
        <v>169</v>
      </c>
      <c r="B171" s="25" t="n">
        <v>1186.3</v>
      </c>
    </row>
    <row r="172">
      <c r="A172" t="n">
        <v>170</v>
      </c>
      <c r="B172" s="25" t="n">
        <v>1191.57</v>
      </c>
    </row>
    <row r="173">
      <c r="A173" t="n">
        <v>171</v>
      </c>
      <c r="B173" s="25" t="n">
        <v>1196.87</v>
      </c>
    </row>
    <row r="174">
      <c r="A174" t="n">
        <v>172</v>
      </c>
      <c r="B174" s="25" t="n">
        <v>1202.15</v>
      </c>
    </row>
    <row r="175">
      <c r="A175" t="n">
        <v>173</v>
      </c>
      <c r="B175" s="25" t="n">
        <v>1207.42</v>
      </c>
    </row>
    <row r="176">
      <c r="A176" t="n">
        <v>174</v>
      </c>
      <c r="B176" s="25" t="n">
        <v>1212.67</v>
      </c>
    </row>
    <row r="177">
      <c r="A177" t="n">
        <v>175</v>
      </c>
      <c r="B177" s="25" t="n">
        <v>1218.02</v>
      </c>
    </row>
    <row r="178">
      <c r="A178" t="n">
        <v>176</v>
      </c>
      <c r="B178" s="25" t="n">
        <v>1223.21</v>
      </c>
    </row>
    <row r="179">
      <c r="A179" t="n">
        <v>177</v>
      </c>
      <c r="B179" s="25" t="n">
        <v>1228.53</v>
      </c>
    </row>
    <row r="180">
      <c r="A180" t="n">
        <v>178</v>
      </c>
      <c r="B180" s="25" t="n">
        <v>1233.79</v>
      </c>
    </row>
    <row r="181">
      <c r="A181" t="n">
        <v>179</v>
      </c>
      <c r="B181" s="25" t="n">
        <v>1239.07</v>
      </c>
    </row>
    <row r="182">
      <c r="A182" t="n">
        <v>180</v>
      </c>
      <c r="B182" s="25" t="n">
        <v>1244.3</v>
      </c>
    </row>
    <row r="183">
      <c r="A183" t="n">
        <v>181</v>
      </c>
      <c r="B183" s="25" t="n">
        <v>1249.58</v>
      </c>
    </row>
    <row r="184">
      <c r="A184" t="n">
        <v>182</v>
      </c>
      <c r="B184" s="25" t="n">
        <v>1254.86</v>
      </c>
    </row>
    <row r="185">
      <c r="A185" t="n">
        <v>183</v>
      </c>
      <c r="B185" s="25" t="n">
        <v>1260.15</v>
      </c>
    </row>
    <row r="186">
      <c r="A186" t="n">
        <v>184</v>
      </c>
      <c r="B186" s="25" t="n">
        <v>1265.46</v>
      </c>
    </row>
    <row r="187">
      <c r="A187" t="n">
        <v>185</v>
      </c>
      <c r="B187" s="25" t="n">
        <v>1270.72</v>
      </c>
    </row>
    <row r="188">
      <c r="A188" t="n">
        <v>186</v>
      </c>
      <c r="B188" s="25" t="n">
        <v>1276.03</v>
      </c>
    </row>
    <row r="189">
      <c r="A189" t="n">
        <v>187</v>
      </c>
      <c r="B189" s="25" t="n">
        <v>1281.26</v>
      </c>
    </row>
    <row r="190">
      <c r="A190" t="n">
        <v>188</v>
      </c>
      <c r="B190" s="25" t="n">
        <v>1286.57</v>
      </c>
    </row>
    <row r="191">
      <c r="A191" t="n">
        <v>189</v>
      </c>
      <c r="B191" s="25" t="n">
        <v>1291.84</v>
      </c>
    </row>
    <row r="192">
      <c r="A192" t="n">
        <v>190</v>
      </c>
      <c r="B192" s="25" t="n">
        <v>1297.08</v>
      </c>
    </row>
    <row r="193">
      <c r="A193" t="n">
        <v>191</v>
      </c>
      <c r="B193" s="25" t="n">
        <v>1302.39</v>
      </c>
    </row>
    <row r="194">
      <c r="A194" t="n">
        <v>192</v>
      </c>
      <c r="B194" s="25" t="n">
        <v>1307.68</v>
      </c>
    </row>
    <row r="195">
      <c r="A195" t="n">
        <v>193</v>
      </c>
      <c r="B195" s="25" t="n">
        <v>1312.98</v>
      </c>
    </row>
    <row r="196">
      <c r="A196" t="n">
        <v>194</v>
      </c>
      <c r="B196" s="25" t="n">
        <v>1318.21</v>
      </c>
    </row>
    <row r="197">
      <c r="A197" t="n">
        <v>195</v>
      </c>
      <c r="B197" s="25" t="n">
        <v>1323.5</v>
      </c>
    </row>
    <row r="198">
      <c r="A198" t="n">
        <v>196</v>
      </c>
      <c r="B198" s="25" t="n">
        <v>1328.72</v>
      </c>
    </row>
    <row r="199">
      <c r="A199" t="n">
        <v>197</v>
      </c>
      <c r="B199" s="25" t="n">
        <v>1333.99</v>
      </c>
    </row>
    <row r="200">
      <c r="A200" t="n">
        <v>198</v>
      </c>
      <c r="B200" s="25" t="n">
        <v>1339.27</v>
      </c>
    </row>
    <row r="201">
      <c r="A201" t="n">
        <v>199</v>
      </c>
      <c r="B201" s="25" t="n">
        <v>1344.59</v>
      </c>
    </row>
    <row r="202">
      <c r="A202" t="n">
        <v>200</v>
      </c>
      <c r="B202" s="25" t="n">
        <v>1349.82</v>
      </c>
    </row>
    <row r="203">
      <c r="A203" t="n">
        <v>201</v>
      </c>
      <c r="B203" s="25" t="n">
        <v>1355.13</v>
      </c>
    </row>
    <row r="204">
      <c r="A204" t="n">
        <v>202</v>
      </c>
      <c r="B204" s="25" t="n">
        <v>1360.38</v>
      </c>
    </row>
    <row r="205">
      <c r="A205" t="n">
        <v>203</v>
      </c>
      <c r="B205" s="25" t="n">
        <v>1365.67</v>
      </c>
    </row>
    <row r="206">
      <c r="A206" t="n">
        <v>204</v>
      </c>
      <c r="B206" s="25" t="n">
        <v>1370.97</v>
      </c>
    </row>
    <row r="207">
      <c r="A207" t="n">
        <v>205</v>
      </c>
      <c r="B207" s="25" t="n">
        <v>1376.23</v>
      </c>
    </row>
    <row r="208">
      <c r="A208" t="n">
        <v>206</v>
      </c>
      <c r="B208" s="25" t="n">
        <v>1381.49</v>
      </c>
    </row>
    <row r="209">
      <c r="A209" t="n">
        <v>207</v>
      </c>
      <c r="B209" s="25" t="n">
        <v>1386.79</v>
      </c>
    </row>
    <row r="210">
      <c r="A210" t="n">
        <v>208</v>
      </c>
      <c r="B210" s="25" t="n">
        <v>1392.08</v>
      </c>
    </row>
    <row r="211">
      <c r="A211" t="n">
        <v>209</v>
      </c>
      <c r="B211" s="25" t="n">
        <v>1397.33</v>
      </c>
    </row>
    <row r="212">
      <c r="A212" t="n">
        <v>210</v>
      </c>
      <c r="B212" s="25" t="n">
        <v>1402.63</v>
      </c>
    </row>
    <row r="213">
      <c r="A213" t="n">
        <v>211</v>
      </c>
      <c r="B213" s="25" t="n">
        <v>1407.88</v>
      </c>
    </row>
    <row r="214">
      <c r="A214" t="n">
        <v>212</v>
      </c>
      <c r="B214" s="25" t="n">
        <v>1413.16</v>
      </c>
    </row>
    <row r="215">
      <c r="A215" t="n">
        <v>213</v>
      </c>
      <c r="B215" s="25" t="n">
        <v>1418.45</v>
      </c>
    </row>
    <row r="216">
      <c r="A216" t="n">
        <v>214</v>
      </c>
      <c r="B216" s="25" t="n">
        <v>1423.75</v>
      </c>
    </row>
    <row r="217">
      <c r="A217" t="n">
        <v>215</v>
      </c>
      <c r="B217" s="25" t="n">
        <v>1429.01</v>
      </c>
    </row>
    <row r="218">
      <c r="A218" t="n">
        <v>216</v>
      </c>
      <c r="B218" s="25" t="n">
        <v>1434.29</v>
      </c>
    </row>
    <row r="219">
      <c r="A219" t="n">
        <v>217</v>
      </c>
      <c r="B219" s="25" t="n">
        <v>1439.55</v>
      </c>
    </row>
    <row r="220">
      <c r="A220" t="n">
        <v>218</v>
      </c>
      <c r="B220" s="25" t="n">
        <v>1444.84</v>
      </c>
    </row>
    <row r="221">
      <c r="A221" t="n">
        <v>219</v>
      </c>
      <c r="B221" s="25" t="n">
        <v>1450.1</v>
      </c>
    </row>
    <row r="222">
      <c r="A222" t="n">
        <v>220</v>
      </c>
      <c r="B222" s="25" t="n">
        <v>1455.36</v>
      </c>
    </row>
    <row r="223">
      <c r="A223" t="n">
        <v>221</v>
      </c>
      <c r="B223" s="25" t="n">
        <v>1460.63</v>
      </c>
    </row>
    <row r="224">
      <c r="A224" t="n">
        <v>222</v>
      </c>
      <c r="B224" s="25" t="n">
        <v>1465.91</v>
      </c>
    </row>
    <row r="225">
      <c r="A225" t="n">
        <v>223</v>
      </c>
      <c r="B225" s="25" t="n">
        <v>1471.19</v>
      </c>
    </row>
    <row r="226">
      <c r="A226" t="n">
        <v>224</v>
      </c>
      <c r="B226" s="25" t="n">
        <v>1476.46</v>
      </c>
    </row>
    <row r="227">
      <c r="A227" t="n">
        <v>225</v>
      </c>
      <c r="B227" s="25" t="n">
        <v>1481.71</v>
      </c>
    </row>
    <row r="228">
      <c r="A228" t="n">
        <v>226</v>
      </c>
      <c r="B228" s="25" t="n">
        <v>1487.01</v>
      </c>
    </row>
    <row r="229">
      <c r="A229" t="n">
        <v>227</v>
      </c>
      <c r="B229" s="25" t="n">
        <v>1492.3</v>
      </c>
    </row>
    <row r="230">
      <c r="A230" t="n">
        <v>228</v>
      </c>
      <c r="B230" s="25" t="n">
        <v>1497.54</v>
      </c>
    </row>
    <row r="231">
      <c r="A231" t="n">
        <v>229</v>
      </c>
      <c r="B231" s="25" t="n">
        <v>1502.84</v>
      </c>
    </row>
    <row r="232">
      <c r="A232" t="n">
        <v>230</v>
      </c>
      <c r="B232" s="25" t="n">
        <v>1508.14</v>
      </c>
    </row>
    <row r="233">
      <c r="A233" t="n">
        <v>231</v>
      </c>
      <c r="B233" s="25" t="n">
        <v>1513.44</v>
      </c>
    </row>
    <row r="234">
      <c r="A234" t="n">
        <v>232</v>
      </c>
      <c r="B234" s="25" t="n">
        <v>1518.7</v>
      </c>
    </row>
    <row r="235">
      <c r="A235" t="n">
        <v>233</v>
      </c>
      <c r="B235" s="25" t="n">
        <v>1523.9</v>
      </c>
    </row>
    <row r="236">
      <c r="A236" t="n">
        <v>234</v>
      </c>
      <c r="B236" s="25" t="n">
        <v>1529.25</v>
      </c>
    </row>
    <row r="237">
      <c r="A237" t="n">
        <v>235</v>
      </c>
      <c r="B237" s="25" t="n">
        <v>1534.49</v>
      </c>
    </row>
    <row r="238">
      <c r="A238" t="n">
        <v>236</v>
      </c>
      <c r="B238" s="25" t="n">
        <v>1539.78</v>
      </c>
    </row>
    <row r="239">
      <c r="A239" t="n">
        <v>237</v>
      </c>
      <c r="B239" s="25" t="n">
        <v>1545.06</v>
      </c>
    </row>
    <row r="240">
      <c r="A240" t="n">
        <v>238</v>
      </c>
      <c r="B240" s="25" t="n">
        <v>1550.33</v>
      </c>
    </row>
    <row r="241">
      <c r="A241" t="n">
        <v>239</v>
      </c>
      <c r="B241" s="25" t="n">
        <v>1555.59</v>
      </c>
    </row>
    <row r="242">
      <c r="A242" t="n">
        <v>240</v>
      </c>
      <c r="B242" s="25" t="n">
        <v>1560.88</v>
      </c>
    </row>
    <row r="243">
      <c r="A243" t="n">
        <v>241</v>
      </c>
      <c r="B243" s="25" t="n">
        <v>1566.15</v>
      </c>
    </row>
    <row r="244">
      <c r="A244" t="n">
        <v>242</v>
      </c>
      <c r="B244" s="25" t="n">
        <v>1571.42</v>
      </c>
    </row>
    <row r="245">
      <c r="A245" t="n">
        <v>243</v>
      </c>
      <c r="B245" s="25" t="n">
        <v>1576.76</v>
      </c>
    </row>
    <row r="246">
      <c r="A246" t="n">
        <v>244</v>
      </c>
      <c r="B246" s="25" t="n">
        <v>1581.95</v>
      </c>
    </row>
    <row r="247">
      <c r="A247" t="n">
        <v>245</v>
      </c>
      <c r="B247" s="25" t="n">
        <v>1587.27</v>
      </c>
    </row>
    <row r="248">
      <c r="A248" t="n">
        <v>246</v>
      </c>
      <c r="B248" s="25" t="n">
        <v>1592.52</v>
      </c>
    </row>
    <row r="249">
      <c r="A249" t="n">
        <v>247</v>
      </c>
      <c r="B249" s="25" t="n">
        <v>1597.81</v>
      </c>
    </row>
    <row r="250">
      <c r="A250" t="n">
        <v>248</v>
      </c>
      <c r="B250" s="25" t="n">
        <v>1603.11</v>
      </c>
    </row>
    <row r="251">
      <c r="A251" t="n">
        <v>249</v>
      </c>
      <c r="B251" s="25" t="n">
        <v>1608.36</v>
      </c>
    </row>
    <row r="252">
      <c r="A252" t="n">
        <v>250</v>
      </c>
      <c r="B252" s="25" t="n">
        <v>1613.63</v>
      </c>
    </row>
    <row r="253">
      <c r="A253" s="27" t="inlineStr">
        <is>
          <t>Bron: Beleidsboek WWSO onzelfstandig, januari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O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 ht="28" customHeight="1">
      <c r="A1" s="1" t="inlineStr">
        <is>
          <t>PUNTENTELLING — BEREKENING (§ 2 beleidsboek WWSO jan 2026)</t>
        </is>
      </c>
    </row>
    <row r="2" ht="20" customHeight="1">
      <c r="A2" s="5" t="inlineStr">
        <is>
          <t>Rubriek</t>
        </is>
      </c>
      <c r="B2" s="5" t="inlineStr">
        <is>
          <t>Omschrijving</t>
        </is>
      </c>
      <c r="C2" s="21" t="inlineStr">
        <is>
          <t>K1</t>
        </is>
      </c>
      <c r="D2" s="21" t="inlineStr">
        <is>
          <t>K2</t>
        </is>
      </c>
      <c r="E2" s="21" t="inlineStr">
        <is>
          <t>K3</t>
        </is>
      </c>
      <c r="F2" s="21" t="inlineStr">
        <is>
          <t>K4</t>
        </is>
      </c>
      <c r="G2" s="21" t="inlineStr">
        <is>
          <t>K5</t>
        </is>
      </c>
      <c r="H2" s="21" t="inlineStr">
        <is>
          <t>K6</t>
        </is>
      </c>
      <c r="I2" s="21" t="inlineStr">
        <is>
          <t>K7</t>
        </is>
      </c>
      <c r="J2" s="21" t="inlineStr">
        <is>
          <t>K8</t>
        </is>
      </c>
      <c r="K2" s="21" t="inlineStr">
        <is>
          <t>K9</t>
        </is>
      </c>
      <c r="L2" s="21" t="inlineStr">
        <is>
          <t>K10</t>
        </is>
      </c>
      <c r="M2" s="21" t="inlineStr">
        <is>
          <t>K11</t>
        </is>
      </c>
      <c r="N2" s="21" t="inlineStr">
        <is>
          <t>K12</t>
        </is>
      </c>
      <c r="O2" s="5" t="inlineStr">
        <is>
          <t>Pandtotaal</t>
        </is>
      </c>
    </row>
    <row r="3">
      <c r="A3" s="5" t="inlineStr">
        <is>
          <t>R1</t>
        </is>
      </c>
      <c r="B3" t="inlineStr">
        <is>
          <t>Oppervlakte vertrekken (§2.2.1)</t>
        </is>
      </c>
      <c r="C3" s="13">
        <f>ROUND(SUMPRODUCT((Invoer!$C$18:$C$57="Privévertrek")*(Invoer!$H$18:$H$57="J")*Invoer!$D$18:$D$57)+SUMPRODUCT(((Invoer!$C$18:$C$57="Keuken")+(Invoer!$C$18:$C$57="Badruimte"))*(Invoer!$H$18:$H$57="J")*Invoer!$D$18:$D$57/IF(Invoer!$T$18:$T$57=0,1,Invoer!$T$18:$T$57)),0)</f>
        <v/>
      </c>
      <c r="D3" s="13">
        <f>ROUND(SUMPRODUCT((Invoer!$C$18:$C$57="Privévertrek")*(Invoer!$I$18:$I$57="J")*Invoer!$D$18:$D$57)+SUMPRODUCT(((Invoer!$C$18:$C$57="Keuken")+(Invoer!$C$18:$C$57="Badruimte"))*(Invoer!$I$18:$I$57="J")*Invoer!$D$18:$D$57/IF(Invoer!$T$18:$T$57=0,1,Invoer!$T$18:$T$57)),0)</f>
        <v/>
      </c>
      <c r="E3" s="13">
        <f>ROUND(SUMPRODUCT((Invoer!$C$18:$C$57="Privévertrek")*(Invoer!$J$18:$J$57="J")*Invoer!$D$18:$D$57)+SUMPRODUCT(((Invoer!$C$18:$C$57="Keuken")+(Invoer!$C$18:$C$57="Badruimte"))*(Invoer!$J$18:$J$57="J")*Invoer!$D$18:$D$57/IF(Invoer!$T$18:$T$57=0,1,Invoer!$T$18:$T$57)),0)</f>
        <v/>
      </c>
      <c r="F3" s="13">
        <f>ROUND(SUMPRODUCT((Invoer!$C$18:$C$57="Privévertrek")*(Invoer!$K$18:$K$57="J")*Invoer!$D$18:$D$57)+SUMPRODUCT(((Invoer!$C$18:$C$57="Keuken")+(Invoer!$C$18:$C$57="Badruimte"))*(Invoer!$K$18:$K$57="J")*Invoer!$D$18:$D$57/IF(Invoer!$T$18:$T$57=0,1,Invoer!$T$18:$T$57)),0)</f>
        <v/>
      </c>
      <c r="G3" s="13">
        <f>ROUND(SUMPRODUCT((Invoer!$C$18:$C$57="Privévertrek")*(Invoer!$L$18:$L$57="J")*Invoer!$D$18:$D$57)+SUMPRODUCT(((Invoer!$C$18:$C$57="Keuken")+(Invoer!$C$18:$C$57="Badruimte"))*(Invoer!$L$18:$L$57="J")*Invoer!$D$18:$D$57/IF(Invoer!$T$18:$T$57=0,1,Invoer!$T$18:$T$57)),0)</f>
        <v/>
      </c>
      <c r="H3" s="13">
        <f>ROUND(SUMPRODUCT((Invoer!$C$18:$C$57="Privévertrek")*(Invoer!$M$18:$M$57="J")*Invoer!$D$18:$D$57)+SUMPRODUCT(((Invoer!$C$18:$C$57="Keuken")+(Invoer!$C$18:$C$57="Badruimte"))*(Invoer!$M$18:$M$57="J")*Invoer!$D$18:$D$57/IF(Invoer!$T$18:$T$57=0,1,Invoer!$T$18:$T$57)),0)</f>
        <v/>
      </c>
      <c r="I3" s="13">
        <f>ROUND(SUMPRODUCT((Invoer!$C$18:$C$57="Privévertrek")*(Invoer!$N$18:$N$57="J")*Invoer!$D$18:$D$57)+SUMPRODUCT(((Invoer!$C$18:$C$57="Keuken")+(Invoer!$C$18:$C$57="Badruimte"))*(Invoer!$N$18:$N$57="J")*Invoer!$D$18:$D$57/IF(Invoer!$T$18:$T$57=0,1,Invoer!$T$18:$T$57)),0)</f>
        <v/>
      </c>
      <c r="J3" s="13">
        <f>ROUND(SUMPRODUCT((Invoer!$C$18:$C$57="Privévertrek")*(Invoer!$O$18:$O$57="J")*Invoer!$D$18:$D$57)+SUMPRODUCT(((Invoer!$C$18:$C$57="Keuken")+(Invoer!$C$18:$C$57="Badruimte"))*(Invoer!$O$18:$O$57="J")*Invoer!$D$18:$D$57/IF(Invoer!$T$18:$T$57=0,1,Invoer!$T$18:$T$57)),0)</f>
        <v/>
      </c>
      <c r="K3" s="13">
        <f>ROUND(SUMPRODUCT((Invoer!$C$18:$C$57="Privévertrek")*(Invoer!$P$18:$P$57="J")*Invoer!$D$18:$D$57)+SUMPRODUCT(((Invoer!$C$18:$C$57="Keuken")+(Invoer!$C$18:$C$57="Badruimte"))*(Invoer!$P$18:$P$57="J")*Invoer!$D$18:$D$57/IF(Invoer!$T$18:$T$57=0,1,Invoer!$T$18:$T$57)),0)</f>
        <v/>
      </c>
      <c r="L3" s="13">
        <f>ROUND(SUMPRODUCT((Invoer!$C$18:$C$57="Privévertrek")*(Invoer!$Q$18:$Q$57="J")*Invoer!$D$18:$D$57)+SUMPRODUCT(((Invoer!$C$18:$C$57="Keuken")+(Invoer!$C$18:$C$57="Badruimte"))*(Invoer!$Q$18:$Q$57="J")*Invoer!$D$18:$D$57/IF(Invoer!$T$18:$T$57=0,1,Invoer!$T$18:$T$57)),0)</f>
        <v/>
      </c>
      <c r="M3" s="13">
        <f>ROUND(SUMPRODUCT((Invoer!$C$18:$C$57="Privévertrek")*(Invoer!$R$18:$R$57="J")*Invoer!$D$18:$D$57)+SUMPRODUCT(((Invoer!$C$18:$C$57="Keuken")+(Invoer!$C$18:$C$57="Badruimte"))*(Invoer!$R$18:$R$57="J")*Invoer!$D$18:$D$57/IF(Invoer!$T$18:$T$57=0,1,Invoer!$T$18:$T$57)),0)</f>
        <v/>
      </c>
      <c r="N3" s="13">
        <f>ROUND(SUMPRODUCT((Invoer!$C$18:$C$57="Privévertrek")*(Invoer!$S$18:$S$57="J")*Invoer!$D$18:$D$57)+SUMPRODUCT(((Invoer!$C$18:$C$57="Keuken")+(Invoer!$C$18:$C$57="Badruimte"))*(Invoer!$S$18:$S$57="J")*Invoer!$D$18:$D$57/IF(Invoer!$T$18:$T$57=0,1,Invoer!$T$18:$T$57)),0)</f>
        <v/>
      </c>
      <c r="O3" s="13">
        <f>SUM(C3:N3)</f>
        <v/>
      </c>
    </row>
    <row r="4">
      <c r="A4" s="5" t="inlineStr">
        <is>
          <t>R2</t>
        </is>
      </c>
      <c r="B4" t="inlineStr">
        <is>
          <t>Oppervlakte overige ruimten (§2.2.2)</t>
        </is>
      </c>
      <c r="C4" s="13">
        <f>FLOOR(SUMPRODUCT(((Invoer!$C$18:$C$57="Berging")+(Invoer!$C$18:$C$57="Bijkeuken")+(Invoer!$C$18:$C$57="Wasruimte")+(Invoer!$C$18:$C$57="Overige ruimte")+(Invoer!$C$18:$C$57="Toiletruimte"))*(Invoer!$H$18:$H$57="J")*Invoer!$D$18:$D$57*0.75/IF(Invoer!$T$18:$T$57=0,1,Invoer!$T$18:$T$57))+0.125,0.25)</f>
        <v/>
      </c>
      <c r="D4" s="13">
        <f>FLOOR(SUMPRODUCT(((Invoer!$C$18:$C$57="Berging")+(Invoer!$C$18:$C$57="Bijkeuken")+(Invoer!$C$18:$C$57="Wasruimte")+(Invoer!$C$18:$C$57="Overige ruimte")+(Invoer!$C$18:$C$57="Toiletruimte"))*(Invoer!$I$18:$I$57="J")*Invoer!$D$18:$D$57*0.75/IF(Invoer!$T$18:$T$57=0,1,Invoer!$T$18:$T$57))+0.125,0.25)</f>
        <v/>
      </c>
      <c r="E4" s="13">
        <f>FLOOR(SUMPRODUCT(((Invoer!$C$18:$C$57="Berging")+(Invoer!$C$18:$C$57="Bijkeuken")+(Invoer!$C$18:$C$57="Wasruimte")+(Invoer!$C$18:$C$57="Overige ruimte")+(Invoer!$C$18:$C$57="Toiletruimte"))*(Invoer!$J$18:$J$57="J")*Invoer!$D$18:$D$57*0.75/IF(Invoer!$T$18:$T$57=0,1,Invoer!$T$18:$T$57))+0.125,0.25)</f>
        <v/>
      </c>
      <c r="F4" s="13">
        <f>FLOOR(SUMPRODUCT(((Invoer!$C$18:$C$57="Berging")+(Invoer!$C$18:$C$57="Bijkeuken")+(Invoer!$C$18:$C$57="Wasruimte")+(Invoer!$C$18:$C$57="Overige ruimte")+(Invoer!$C$18:$C$57="Toiletruimte"))*(Invoer!$K$18:$K$57="J")*Invoer!$D$18:$D$57*0.75/IF(Invoer!$T$18:$T$57=0,1,Invoer!$T$18:$T$57))+0.125,0.25)</f>
        <v/>
      </c>
      <c r="G4" s="13">
        <f>FLOOR(SUMPRODUCT(((Invoer!$C$18:$C$57="Berging")+(Invoer!$C$18:$C$57="Bijkeuken")+(Invoer!$C$18:$C$57="Wasruimte")+(Invoer!$C$18:$C$57="Overige ruimte")+(Invoer!$C$18:$C$57="Toiletruimte"))*(Invoer!$L$18:$L$57="J")*Invoer!$D$18:$D$57*0.75/IF(Invoer!$T$18:$T$57=0,1,Invoer!$T$18:$T$57))+0.125,0.25)</f>
        <v/>
      </c>
      <c r="H4" s="13">
        <f>FLOOR(SUMPRODUCT(((Invoer!$C$18:$C$57="Berging")+(Invoer!$C$18:$C$57="Bijkeuken")+(Invoer!$C$18:$C$57="Wasruimte")+(Invoer!$C$18:$C$57="Overige ruimte")+(Invoer!$C$18:$C$57="Toiletruimte"))*(Invoer!$M$18:$M$57="J")*Invoer!$D$18:$D$57*0.75/IF(Invoer!$T$18:$T$57=0,1,Invoer!$T$18:$T$57))+0.125,0.25)</f>
        <v/>
      </c>
      <c r="I4" s="13">
        <f>FLOOR(SUMPRODUCT(((Invoer!$C$18:$C$57="Berging")+(Invoer!$C$18:$C$57="Bijkeuken")+(Invoer!$C$18:$C$57="Wasruimte")+(Invoer!$C$18:$C$57="Overige ruimte")+(Invoer!$C$18:$C$57="Toiletruimte"))*(Invoer!$N$18:$N$57="J")*Invoer!$D$18:$D$57*0.75/IF(Invoer!$T$18:$T$57=0,1,Invoer!$T$18:$T$57))+0.125,0.25)</f>
        <v/>
      </c>
      <c r="J4" s="13">
        <f>FLOOR(SUMPRODUCT(((Invoer!$C$18:$C$57="Berging")+(Invoer!$C$18:$C$57="Bijkeuken")+(Invoer!$C$18:$C$57="Wasruimte")+(Invoer!$C$18:$C$57="Overige ruimte")+(Invoer!$C$18:$C$57="Toiletruimte"))*(Invoer!$O$18:$O$57="J")*Invoer!$D$18:$D$57*0.75/IF(Invoer!$T$18:$T$57=0,1,Invoer!$T$18:$T$57))+0.125,0.25)</f>
        <v/>
      </c>
      <c r="K4" s="13">
        <f>FLOOR(SUMPRODUCT(((Invoer!$C$18:$C$57="Berging")+(Invoer!$C$18:$C$57="Bijkeuken")+(Invoer!$C$18:$C$57="Wasruimte")+(Invoer!$C$18:$C$57="Overige ruimte")+(Invoer!$C$18:$C$57="Toiletruimte"))*(Invoer!$P$18:$P$57="J")*Invoer!$D$18:$D$57*0.75/IF(Invoer!$T$18:$T$57=0,1,Invoer!$T$18:$T$57))+0.125,0.25)</f>
        <v/>
      </c>
      <c r="L4" s="13">
        <f>FLOOR(SUMPRODUCT(((Invoer!$C$18:$C$57="Berging")+(Invoer!$C$18:$C$57="Bijkeuken")+(Invoer!$C$18:$C$57="Wasruimte")+(Invoer!$C$18:$C$57="Overige ruimte")+(Invoer!$C$18:$C$57="Toiletruimte"))*(Invoer!$Q$18:$Q$57="J")*Invoer!$D$18:$D$57*0.75/IF(Invoer!$T$18:$T$57=0,1,Invoer!$T$18:$T$57))+0.125,0.25)</f>
        <v/>
      </c>
      <c r="M4" s="13">
        <f>FLOOR(SUMPRODUCT(((Invoer!$C$18:$C$57="Berging")+(Invoer!$C$18:$C$57="Bijkeuken")+(Invoer!$C$18:$C$57="Wasruimte")+(Invoer!$C$18:$C$57="Overige ruimte")+(Invoer!$C$18:$C$57="Toiletruimte"))*(Invoer!$R$18:$R$57="J")*Invoer!$D$18:$D$57*0.75/IF(Invoer!$T$18:$T$57=0,1,Invoer!$T$18:$T$57))+0.125,0.25)</f>
        <v/>
      </c>
      <c r="N4" s="13">
        <f>FLOOR(SUMPRODUCT(((Invoer!$C$18:$C$57="Berging")+(Invoer!$C$18:$C$57="Bijkeuken")+(Invoer!$C$18:$C$57="Wasruimte")+(Invoer!$C$18:$C$57="Overige ruimte")+(Invoer!$C$18:$C$57="Toiletruimte"))*(Invoer!$S$18:$S$57="J")*Invoer!$D$18:$D$57*0.75/IF(Invoer!$T$18:$T$57=0,1,Invoer!$T$18:$T$57))+0.125,0.25)</f>
        <v/>
      </c>
      <c r="O4" s="13">
        <f>SUM(C4:N4)</f>
        <v/>
      </c>
    </row>
    <row r="5">
      <c r="A5" s="5" t="inlineStr">
        <is>
          <t>R3</t>
        </is>
      </c>
      <c r="B5" t="inlineStr">
        <is>
          <t>Verwarming (§2.3)</t>
        </is>
      </c>
      <c r="C5" s="13">
        <f>FLOOR(SUMPRODUCT(((Invoer!$C$18:$C$57="Privévertrek")+(Invoer!$C$18:$C$57="Keuken")+(Invoer!$C$18:$C$57="Badruimte"))*(Invoer!$F$18:$F$57="J")*(Invoer!$H$18:$H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H$18:$H$57="J")*1/IF(Invoer!$T$18:$T$57=0,1,Invoer!$T$18:$T$57)))+MIN(2,SUMPRODUCT(((Invoer!$C$18:$C$57="Privévertrek")+(Invoer!$C$18:$C$57="Keuken")+(Invoer!$C$18:$C$57="Badruimte"))*(Invoer!$F$18:$F$57="J")*(Invoer!$G$18:$G$57="J")*(Invoer!$H$18:$H$57="J")*1/IF(Invoer!$T$18:$T$57=0,1,Invoer!$T$18:$T$57)))+0.125,0.25)</f>
        <v/>
      </c>
      <c r="D5" s="13">
        <f>FLOOR(SUMPRODUCT(((Invoer!$C$18:$C$57="Privévertrek")+(Invoer!$C$18:$C$57="Keuken")+(Invoer!$C$18:$C$57="Badruimte"))*(Invoer!$F$18:$F$57="J")*(Invoer!$I$18:$I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I$18:$I$57="J")*1/IF(Invoer!$T$18:$T$57=0,1,Invoer!$T$18:$T$57)))+MIN(2,SUMPRODUCT(((Invoer!$C$18:$C$57="Privévertrek")+(Invoer!$C$18:$C$57="Keuken")+(Invoer!$C$18:$C$57="Badruimte"))*(Invoer!$F$18:$F$57="J")*(Invoer!$G$18:$G$57="J")*(Invoer!$I$18:$I$57="J")*1/IF(Invoer!$T$18:$T$57=0,1,Invoer!$T$18:$T$57)))+0.125,0.25)</f>
        <v/>
      </c>
      <c r="E5" s="13">
        <f>FLOOR(SUMPRODUCT(((Invoer!$C$18:$C$57="Privévertrek")+(Invoer!$C$18:$C$57="Keuken")+(Invoer!$C$18:$C$57="Badruimte"))*(Invoer!$F$18:$F$57="J")*(Invoer!$J$18:$J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J$18:$J$57="J")*1/IF(Invoer!$T$18:$T$57=0,1,Invoer!$T$18:$T$57)))+MIN(2,SUMPRODUCT(((Invoer!$C$18:$C$57="Privévertrek")+(Invoer!$C$18:$C$57="Keuken")+(Invoer!$C$18:$C$57="Badruimte"))*(Invoer!$F$18:$F$57="J")*(Invoer!$G$18:$G$57="J")*(Invoer!$J$18:$J$57="J")*1/IF(Invoer!$T$18:$T$57=0,1,Invoer!$T$18:$T$57)))+0.125,0.25)</f>
        <v/>
      </c>
      <c r="F5" s="13">
        <f>FLOOR(SUMPRODUCT(((Invoer!$C$18:$C$57="Privévertrek")+(Invoer!$C$18:$C$57="Keuken")+(Invoer!$C$18:$C$57="Badruimte"))*(Invoer!$F$18:$F$57="J")*(Invoer!$K$18:$K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K$18:$K$57="J")*1/IF(Invoer!$T$18:$T$57=0,1,Invoer!$T$18:$T$57)))+MIN(2,SUMPRODUCT(((Invoer!$C$18:$C$57="Privévertrek")+(Invoer!$C$18:$C$57="Keuken")+(Invoer!$C$18:$C$57="Badruimte"))*(Invoer!$F$18:$F$57="J")*(Invoer!$G$18:$G$57="J")*(Invoer!$K$18:$K$57="J")*1/IF(Invoer!$T$18:$T$57=0,1,Invoer!$T$18:$T$57)))+0.125,0.25)</f>
        <v/>
      </c>
      <c r="G5" s="13">
        <f>FLOOR(SUMPRODUCT(((Invoer!$C$18:$C$57="Privévertrek")+(Invoer!$C$18:$C$57="Keuken")+(Invoer!$C$18:$C$57="Badruimte"))*(Invoer!$F$18:$F$57="J")*(Invoer!$L$18:$L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L$18:$L$57="J")*1/IF(Invoer!$T$18:$T$57=0,1,Invoer!$T$18:$T$57)))+MIN(2,SUMPRODUCT(((Invoer!$C$18:$C$57="Privévertrek")+(Invoer!$C$18:$C$57="Keuken")+(Invoer!$C$18:$C$57="Badruimte"))*(Invoer!$F$18:$F$57="J")*(Invoer!$G$18:$G$57="J")*(Invoer!$L$18:$L$57="J")*1/IF(Invoer!$T$18:$T$57=0,1,Invoer!$T$18:$T$57)))+0.125,0.25)</f>
        <v/>
      </c>
      <c r="H5" s="13">
        <f>FLOOR(SUMPRODUCT(((Invoer!$C$18:$C$57="Privévertrek")+(Invoer!$C$18:$C$57="Keuken")+(Invoer!$C$18:$C$57="Badruimte"))*(Invoer!$F$18:$F$57="J")*(Invoer!$M$18:$M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M$18:$M$57="J")*1/IF(Invoer!$T$18:$T$57=0,1,Invoer!$T$18:$T$57)))+MIN(2,SUMPRODUCT(((Invoer!$C$18:$C$57="Privévertrek")+(Invoer!$C$18:$C$57="Keuken")+(Invoer!$C$18:$C$57="Badruimte"))*(Invoer!$F$18:$F$57="J")*(Invoer!$G$18:$G$57="J")*(Invoer!$M$18:$M$57="J")*1/IF(Invoer!$T$18:$T$57=0,1,Invoer!$T$18:$T$57)))+0.125,0.25)</f>
        <v/>
      </c>
      <c r="I5" s="13">
        <f>FLOOR(SUMPRODUCT(((Invoer!$C$18:$C$57="Privévertrek")+(Invoer!$C$18:$C$57="Keuken")+(Invoer!$C$18:$C$57="Badruimte"))*(Invoer!$F$18:$F$57="J")*(Invoer!$N$18:$N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N$18:$N$57="J")*1/IF(Invoer!$T$18:$T$57=0,1,Invoer!$T$18:$T$57)))+MIN(2,SUMPRODUCT(((Invoer!$C$18:$C$57="Privévertrek")+(Invoer!$C$18:$C$57="Keuken")+(Invoer!$C$18:$C$57="Badruimte"))*(Invoer!$F$18:$F$57="J")*(Invoer!$G$18:$G$57="J")*(Invoer!$N$18:$N$57="J")*1/IF(Invoer!$T$18:$T$57=0,1,Invoer!$T$18:$T$57)))+0.125,0.25)</f>
        <v/>
      </c>
      <c r="J5" s="13">
        <f>FLOOR(SUMPRODUCT(((Invoer!$C$18:$C$57="Privévertrek")+(Invoer!$C$18:$C$57="Keuken")+(Invoer!$C$18:$C$57="Badruimte"))*(Invoer!$F$18:$F$57="J")*(Invoer!$O$18:$O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O$18:$O$57="J")*1/IF(Invoer!$T$18:$T$57=0,1,Invoer!$T$18:$T$57)))+MIN(2,SUMPRODUCT(((Invoer!$C$18:$C$57="Privévertrek")+(Invoer!$C$18:$C$57="Keuken")+(Invoer!$C$18:$C$57="Badruimte"))*(Invoer!$F$18:$F$57="J")*(Invoer!$G$18:$G$57="J")*(Invoer!$O$18:$O$57="J")*1/IF(Invoer!$T$18:$T$57=0,1,Invoer!$T$18:$T$57)))+0.125,0.25)</f>
        <v/>
      </c>
      <c r="K5" s="13">
        <f>FLOOR(SUMPRODUCT(((Invoer!$C$18:$C$57="Privévertrek")+(Invoer!$C$18:$C$57="Keuken")+(Invoer!$C$18:$C$57="Badruimte"))*(Invoer!$F$18:$F$57="J")*(Invoer!$P$18:$P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P$18:$P$57="J")*1/IF(Invoer!$T$18:$T$57=0,1,Invoer!$T$18:$T$57)))+MIN(2,SUMPRODUCT(((Invoer!$C$18:$C$57="Privévertrek")+(Invoer!$C$18:$C$57="Keuken")+(Invoer!$C$18:$C$57="Badruimte"))*(Invoer!$F$18:$F$57="J")*(Invoer!$G$18:$G$57="J")*(Invoer!$P$18:$P$57="J")*1/IF(Invoer!$T$18:$T$57=0,1,Invoer!$T$18:$T$57)))+0.125,0.25)</f>
        <v/>
      </c>
      <c r="L5" s="13">
        <f>FLOOR(SUMPRODUCT(((Invoer!$C$18:$C$57="Privévertrek")+(Invoer!$C$18:$C$57="Keuken")+(Invoer!$C$18:$C$57="Badruimte"))*(Invoer!$F$18:$F$57="J")*(Invoer!$Q$18:$Q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Q$18:$Q$57="J")*1/IF(Invoer!$T$18:$T$57=0,1,Invoer!$T$18:$T$57)))+MIN(2,SUMPRODUCT(((Invoer!$C$18:$C$57="Privévertrek")+(Invoer!$C$18:$C$57="Keuken")+(Invoer!$C$18:$C$57="Badruimte"))*(Invoer!$F$18:$F$57="J")*(Invoer!$G$18:$G$57="J")*(Invoer!$Q$18:$Q$57="J")*1/IF(Invoer!$T$18:$T$57=0,1,Invoer!$T$18:$T$57)))+0.125,0.25)</f>
        <v/>
      </c>
      <c r="M5" s="13">
        <f>FLOOR(SUMPRODUCT(((Invoer!$C$18:$C$57="Privévertrek")+(Invoer!$C$18:$C$57="Keuken")+(Invoer!$C$18:$C$57="Badruimte"))*(Invoer!$F$18:$F$57="J")*(Invoer!$R$18:$R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R$18:$R$57="J")*1/IF(Invoer!$T$18:$T$57=0,1,Invoer!$T$18:$T$57)))+MIN(2,SUMPRODUCT(((Invoer!$C$18:$C$57="Privévertrek")+(Invoer!$C$18:$C$57="Keuken")+(Invoer!$C$18:$C$57="Badruimte"))*(Invoer!$F$18:$F$57="J")*(Invoer!$G$18:$G$57="J")*(Invoer!$R$18:$R$57="J")*1/IF(Invoer!$T$18:$T$57=0,1,Invoer!$T$18:$T$57)))+0.125,0.25)</f>
        <v/>
      </c>
      <c r="N5" s="13">
        <f>FLOOR(SUMPRODUCT(((Invoer!$C$18:$C$57="Privévertrek")+(Invoer!$C$18:$C$57="Keuken")+(Invoer!$C$18:$C$57="Badruimte"))*(Invoer!$F$18:$F$57="J")*(Invoer!$S$18:$S$57="J")*2/IF(Invoer!$T$18:$T$57=0,1,Invoer!$T$18:$T$57))+MIN(4,SUMPRODUCT(((Invoer!$C$18:$C$57="Berging")+(Invoer!$C$18:$C$57="Bijkeuken")+(Invoer!$C$18:$C$57="Wasruimte")+(Invoer!$C$18:$C$57="Overige ruimte")+(Invoer!$C$18:$C$57="Verkeersruimte"))*(Invoer!$F$18:$F$57="J")*(Invoer!$S$18:$S$57="J")*1/IF(Invoer!$T$18:$T$57=0,1,Invoer!$T$18:$T$57)))+MIN(2,SUMPRODUCT(((Invoer!$C$18:$C$57="Privévertrek")+(Invoer!$C$18:$C$57="Keuken")+(Invoer!$C$18:$C$57="Badruimte"))*(Invoer!$F$18:$F$57="J")*(Invoer!$G$18:$G$57="J")*(Invoer!$S$18:$S$57="J")*1/IF(Invoer!$T$18:$T$57=0,1,Invoer!$T$18:$T$57)))+0.125,0.25)</f>
        <v/>
      </c>
      <c r="O5" s="13">
        <f>SUM(C5:N5)</f>
        <v/>
      </c>
    </row>
    <row r="6">
      <c r="A6" s="5" t="inlineStr">
        <is>
          <t>R4</t>
        </is>
      </c>
      <c r="B6" t="inlineStr">
        <is>
          <t>Energieprestatie (§2.4)</t>
        </is>
      </c>
      <c r="C6" s="13">
        <f>FLOOR((SUMPRODUCT((Invoer!$C$18:$C$57="Privévertrek")*(Invoer!$H$18:$H$57="J")*Invoer!$D$18:$D$57)+SUMPRODUCT(((Invoer!$C$18:$C$57="Keuken")+(Invoer!$C$18:$C$57="Badruimte"))*(Invoer!$H$18:$H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D6" s="13">
        <f>FLOOR((SUMPRODUCT((Invoer!$C$18:$C$57="Privévertrek")*(Invoer!$I$18:$I$57="J")*Invoer!$D$18:$D$57)+SUMPRODUCT(((Invoer!$C$18:$C$57="Keuken")+(Invoer!$C$18:$C$57="Badruimte"))*(Invoer!$I$18:$I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E6" s="13">
        <f>FLOOR((SUMPRODUCT((Invoer!$C$18:$C$57="Privévertrek")*(Invoer!$J$18:$J$57="J")*Invoer!$D$18:$D$57)+SUMPRODUCT(((Invoer!$C$18:$C$57="Keuken")+(Invoer!$C$18:$C$57="Badruimte"))*(Invoer!$J$18:$J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F6" s="13">
        <f>FLOOR((SUMPRODUCT((Invoer!$C$18:$C$57="Privévertrek")*(Invoer!$K$18:$K$57="J")*Invoer!$D$18:$D$57)+SUMPRODUCT(((Invoer!$C$18:$C$57="Keuken")+(Invoer!$C$18:$C$57="Badruimte"))*(Invoer!$K$18:$K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G6" s="13">
        <f>FLOOR((SUMPRODUCT((Invoer!$C$18:$C$57="Privévertrek")*(Invoer!$L$18:$L$57="J")*Invoer!$D$18:$D$57)+SUMPRODUCT(((Invoer!$C$18:$C$57="Keuken")+(Invoer!$C$18:$C$57="Badruimte"))*(Invoer!$L$18:$L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H6" s="13">
        <f>FLOOR((SUMPRODUCT((Invoer!$C$18:$C$57="Privévertrek")*(Invoer!$M$18:$M$57="J")*Invoer!$D$18:$D$57)+SUMPRODUCT(((Invoer!$C$18:$C$57="Keuken")+(Invoer!$C$18:$C$57="Badruimte"))*(Invoer!$M$18:$M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I6" s="13">
        <f>FLOOR((SUMPRODUCT((Invoer!$C$18:$C$57="Privévertrek")*(Invoer!$N$18:$N$57="J")*Invoer!$D$18:$D$57)+SUMPRODUCT(((Invoer!$C$18:$C$57="Keuken")+(Invoer!$C$18:$C$57="Badruimte"))*(Invoer!$N$18:$N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J6" s="13">
        <f>FLOOR((SUMPRODUCT((Invoer!$C$18:$C$57="Privévertrek")*(Invoer!$O$18:$O$57="J")*Invoer!$D$18:$D$57)+SUMPRODUCT(((Invoer!$C$18:$C$57="Keuken")+(Invoer!$C$18:$C$57="Badruimte"))*(Invoer!$O$18:$O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K6" s="13">
        <f>FLOOR((SUMPRODUCT((Invoer!$C$18:$C$57="Privévertrek")*(Invoer!$P$18:$P$57="J")*Invoer!$D$18:$D$57)+SUMPRODUCT(((Invoer!$C$18:$C$57="Keuken")+(Invoer!$C$18:$C$57="Badruimte"))*(Invoer!$P$18:$P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L6" s="13">
        <f>FLOOR((SUMPRODUCT((Invoer!$C$18:$C$57="Privévertrek")*(Invoer!$Q$18:$Q$57="J")*Invoer!$D$18:$D$57)+SUMPRODUCT(((Invoer!$C$18:$C$57="Keuken")+(Invoer!$C$18:$C$57="Badruimte"))*(Invoer!$Q$18:$Q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M6" s="13">
        <f>FLOOR((SUMPRODUCT((Invoer!$C$18:$C$57="Privévertrek")*(Invoer!$R$18:$R$57="J")*Invoer!$D$18:$D$57)+SUMPRODUCT(((Invoer!$C$18:$C$57="Keuken")+(Invoer!$C$18:$C$57="Badruimte"))*(Invoer!$R$18:$R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N6" s="13">
        <f>FLOOR((SUMPRODUCT((Invoer!$C$18:$C$57="Privévertrek")*(Invoer!$S$18:$S$57="J")*Invoer!$D$18:$D$57)+SUMPRODUCT(((Invoer!$C$18:$C$57="Keuken")+(Invoer!$C$18:$C$57="Badruimte"))*(Invoer!$S$18:$S$57="J")*Invoer!$D$18:$D$57/IF(Invoer!$T$18:$T$57=0,1,Invoer!$T$18:$T$57)))*IFERROR(INDEX(tbl_energielabel_fac,MATCH(Invoer!$B$10,tbl_energielabel_lbl,0)),IFERROR(INDEX(tbl_bouwjaar_fac,MATCH(Invoer!$B$12,tbl_bouwjaar_grens,1)),0))+0.125,0.25)</f>
        <v/>
      </c>
      <c r="O6" s="13">
        <f>SUM(C6:N6)</f>
        <v/>
      </c>
    </row>
    <row r="7">
      <c r="A7" s="5" t="inlineStr">
        <is>
          <t>R5</t>
        </is>
      </c>
      <c r="B7" t="inlineStr">
        <is>
          <t>Keukenvoorzieningen (§2.5)</t>
        </is>
      </c>
      <c r="C7" s="13">
        <f>FLOOR(IFERROR(IF(AND(Voorzieningen!$B$4&lt;&gt;"",INDEX(Invoer!$H$18:$S$57,Voorzieningen!$B$4,1)="J"),Voorzieningen!$B$25,0),0)+IFERROR(IF(AND(Voorzieningen!$B$27&lt;&gt;"",INDEX(Invoer!$H$18:$S$57,Voorzieningen!$B$27,1)="J"),Voorzieningen!$B$48,0),0)+IFERROR(IF(AND(Voorzieningen!$B$50&lt;&gt;"",INDEX(Invoer!$H$18:$S$57,Voorzieningen!$B$50,1)="J"),Voorzieningen!$B$71,0),0)+IFERROR(IF(AND(Voorzieningen!$B$73&lt;&gt;"",INDEX(Invoer!$H$18:$S$57,Voorzieningen!$B$73,1)="J"),Voorzieningen!$B$94,0),0)+IFERROR(IF(AND(Voorzieningen!$B$96&lt;&gt;"",INDEX(Invoer!$H$18:$S$57,Voorzieningen!$B$96,1)="J"),Voorzieningen!$B$117,0),0)+IFERROR(IF(AND(Voorzieningen!$B$119&lt;&gt;"",INDEX(Invoer!$H$18:$S$57,Voorzieningen!$B$119,1)="J"),Voorzieningen!$B$140,0),0)+0.125,0.25)</f>
        <v/>
      </c>
      <c r="D7" s="13">
        <f>FLOOR(IFERROR(IF(AND(Voorzieningen!$B$4&lt;&gt;"",INDEX(Invoer!$H$18:$S$57,Voorzieningen!$B$4,2)="J"),Voorzieningen!$B$25,0),0)+IFERROR(IF(AND(Voorzieningen!$B$27&lt;&gt;"",INDEX(Invoer!$H$18:$S$57,Voorzieningen!$B$27,2)="J"),Voorzieningen!$B$48,0),0)+IFERROR(IF(AND(Voorzieningen!$B$50&lt;&gt;"",INDEX(Invoer!$H$18:$S$57,Voorzieningen!$B$50,2)="J"),Voorzieningen!$B$71,0),0)+IFERROR(IF(AND(Voorzieningen!$B$73&lt;&gt;"",INDEX(Invoer!$H$18:$S$57,Voorzieningen!$B$73,2)="J"),Voorzieningen!$B$94,0),0)+IFERROR(IF(AND(Voorzieningen!$B$96&lt;&gt;"",INDEX(Invoer!$H$18:$S$57,Voorzieningen!$B$96,2)="J"),Voorzieningen!$B$117,0),0)+IFERROR(IF(AND(Voorzieningen!$B$119&lt;&gt;"",INDEX(Invoer!$H$18:$S$57,Voorzieningen!$B$119,2)="J"),Voorzieningen!$B$140,0),0)+0.125,0.25)</f>
        <v/>
      </c>
      <c r="E7" s="13">
        <f>FLOOR(IFERROR(IF(AND(Voorzieningen!$B$4&lt;&gt;"",INDEX(Invoer!$H$18:$S$57,Voorzieningen!$B$4,3)="J"),Voorzieningen!$B$25,0),0)+IFERROR(IF(AND(Voorzieningen!$B$27&lt;&gt;"",INDEX(Invoer!$H$18:$S$57,Voorzieningen!$B$27,3)="J"),Voorzieningen!$B$48,0),0)+IFERROR(IF(AND(Voorzieningen!$B$50&lt;&gt;"",INDEX(Invoer!$H$18:$S$57,Voorzieningen!$B$50,3)="J"),Voorzieningen!$B$71,0),0)+IFERROR(IF(AND(Voorzieningen!$B$73&lt;&gt;"",INDEX(Invoer!$H$18:$S$57,Voorzieningen!$B$73,3)="J"),Voorzieningen!$B$94,0),0)+IFERROR(IF(AND(Voorzieningen!$B$96&lt;&gt;"",INDEX(Invoer!$H$18:$S$57,Voorzieningen!$B$96,3)="J"),Voorzieningen!$B$117,0),0)+IFERROR(IF(AND(Voorzieningen!$B$119&lt;&gt;"",INDEX(Invoer!$H$18:$S$57,Voorzieningen!$B$119,3)="J"),Voorzieningen!$B$140,0),0)+0.125,0.25)</f>
        <v/>
      </c>
      <c r="F7" s="13">
        <f>FLOOR(IFERROR(IF(AND(Voorzieningen!$B$4&lt;&gt;"",INDEX(Invoer!$H$18:$S$57,Voorzieningen!$B$4,4)="J"),Voorzieningen!$B$25,0),0)+IFERROR(IF(AND(Voorzieningen!$B$27&lt;&gt;"",INDEX(Invoer!$H$18:$S$57,Voorzieningen!$B$27,4)="J"),Voorzieningen!$B$48,0),0)+IFERROR(IF(AND(Voorzieningen!$B$50&lt;&gt;"",INDEX(Invoer!$H$18:$S$57,Voorzieningen!$B$50,4)="J"),Voorzieningen!$B$71,0),0)+IFERROR(IF(AND(Voorzieningen!$B$73&lt;&gt;"",INDEX(Invoer!$H$18:$S$57,Voorzieningen!$B$73,4)="J"),Voorzieningen!$B$94,0),0)+IFERROR(IF(AND(Voorzieningen!$B$96&lt;&gt;"",INDEX(Invoer!$H$18:$S$57,Voorzieningen!$B$96,4)="J"),Voorzieningen!$B$117,0),0)+IFERROR(IF(AND(Voorzieningen!$B$119&lt;&gt;"",INDEX(Invoer!$H$18:$S$57,Voorzieningen!$B$119,4)="J"),Voorzieningen!$B$140,0),0)+0.125,0.25)</f>
        <v/>
      </c>
      <c r="G7" s="13">
        <f>FLOOR(IFERROR(IF(AND(Voorzieningen!$B$4&lt;&gt;"",INDEX(Invoer!$H$18:$S$57,Voorzieningen!$B$4,5)="J"),Voorzieningen!$B$25,0),0)+IFERROR(IF(AND(Voorzieningen!$B$27&lt;&gt;"",INDEX(Invoer!$H$18:$S$57,Voorzieningen!$B$27,5)="J"),Voorzieningen!$B$48,0),0)+IFERROR(IF(AND(Voorzieningen!$B$50&lt;&gt;"",INDEX(Invoer!$H$18:$S$57,Voorzieningen!$B$50,5)="J"),Voorzieningen!$B$71,0),0)+IFERROR(IF(AND(Voorzieningen!$B$73&lt;&gt;"",INDEX(Invoer!$H$18:$S$57,Voorzieningen!$B$73,5)="J"),Voorzieningen!$B$94,0),0)+IFERROR(IF(AND(Voorzieningen!$B$96&lt;&gt;"",INDEX(Invoer!$H$18:$S$57,Voorzieningen!$B$96,5)="J"),Voorzieningen!$B$117,0),0)+IFERROR(IF(AND(Voorzieningen!$B$119&lt;&gt;"",INDEX(Invoer!$H$18:$S$57,Voorzieningen!$B$119,5)="J"),Voorzieningen!$B$140,0),0)+0.125,0.25)</f>
        <v/>
      </c>
      <c r="H7" s="13">
        <f>FLOOR(IFERROR(IF(AND(Voorzieningen!$B$4&lt;&gt;"",INDEX(Invoer!$H$18:$S$57,Voorzieningen!$B$4,6)="J"),Voorzieningen!$B$25,0),0)+IFERROR(IF(AND(Voorzieningen!$B$27&lt;&gt;"",INDEX(Invoer!$H$18:$S$57,Voorzieningen!$B$27,6)="J"),Voorzieningen!$B$48,0),0)+IFERROR(IF(AND(Voorzieningen!$B$50&lt;&gt;"",INDEX(Invoer!$H$18:$S$57,Voorzieningen!$B$50,6)="J"),Voorzieningen!$B$71,0),0)+IFERROR(IF(AND(Voorzieningen!$B$73&lt;&gt;"",INDEX(Invoer!$H$18:$S$57,Voorzieningen!$B$73,6)="J"),Voorzieningen!$B$94,0),0)+IFERROR(IF(AND(Voorzieningen!$B$96&lt;&gt;"",INDEX(Invoer!$H$18:$S$57,Voorzieningen!$B$96,6)="J"),Voorzieningen!$B$117,0),0)+IFERROR(IF(AND(Voorzieningen!$B$119&lt;&gt;"",INDEX(Invoer!$H$18:$S$57,Voorzieningen!$B$119,6)="J"),Voorzieningen!$B$140,0),0)+0.125,0.25)</f>
        <v/>
      </c>
      <c r="I7" s="13">
        <f>FLOOR(IFERROR(IF(AND(Voorzieningen!$B$4&lt;&gt;"",INDEX(Invoer!$H$18:$S$57,Voorzieningen!$B$4,7)="J"),Voorzieningen!$B$25,0),0)+IFERROR(IF(AND(Voorzieningen!$B$27&lt;&gt;"",INDEX(Invoer!$H$18:$S$57,Voorzieningen!$B$27,7)="J"),Voorzieningen!$B$48,0),0)+IFERROR(IF(AND(Voorzieningen!$B$50&lt;&gt;"",INDEX(Invoer!$H$18:$S$57,Voorzieningen!$B$50,7)="J"),Voorzieningen!$B$71,0),0)+IFERROR(IF(AND(Voorzieningen!$B$73&lt;&gt;"",INDEX(Invoer!$H$18:$S$57,Voorzieningen!$B$73,7)="J"),Voorzieningen!$B$94,0),0)+IFERROR(IF(AND(Voorzieningen!$B$96&lt;&gt;"",INDEX(Invoer!$H$18:$S$57,Voorzieningen!$B$96,7)="J"),Voorzieningen!$B$117,0),0)+IFERROR(IF(AND(Voorzieningen!$B$119&lt;&gt;"",INDEX(Invoer!$H$18:$S$57,Voorzieningen!$B$119,7)="J"),Voorzieningen!$B$140,0),0)+0.125,0.25)</f>
        <v/>
      </c>
      <c r="J7" s="13">
        <f>FLOOR(IFERROR(IF(AND(Voorzieningen!$B$4&lt;&gt;"",INDEX(Invoer!$H$18:$S$57,Voorzieningen!$B$4,8)="J"),Voorzieningen!$B$25,0),0)+IFERROR(IF(AND(Voorzieningen!$B$27&lt;&gt;"",INDEX(Invoer!$H$18:$S$57,Voorzieningen!$B$27,8)="J"),Voorzieningen!$B$48,0),0)+IFERROR(IF(AND(Voorzieningen!$B$50&lt;&gt;"",INDEX(Invoer!$H$18:$S$57,Voorzieningen!$B$50,8)="J"),Voorzieningen!$B$71,0),0)+IFERROR(IF(AND(Voorzieningen!$B$73&lt;&gt;"",INDEX(Invoer!$H$18:$S$57,Voorzieningen!$B$73,8)="J"),Voorzieningen!$B$94,0),0)+IFERROR(IF(AND(Voorzieningen!$B$96&lt;&gt;"",INDEX(Invoer!$H$18:$S$57,Voorzieningen!$B$96,8)="J"),Voorzieningen!$B$117,0),0)+IFERROR(IF(AND(Voorzieningen!$B$119&lt;&gt;"",INDEX(Invoer!$H$18:$S$57,Voorzieningen!$B$119,8)="J"),Voorzieningen!$B$140,0),0)+0.125,0.25)</f>
        <v/>
      </c>
      <c r="K7" s="13">
        <f>FLOOR(IFERROR(IF(AND(Voorzieningen!$B$4&lt;&gt;"",INDEX(Invoer!$H$18:$S$57,Voorzieningen!$B$4,9)="J"),Voorzieningen!$B$25,0),0)+IFERROR(IF(AND(Voorzieningen!$B$27&lt;&gt;"",INDEX(Invoer!$H$18:$S$57,Voorzieningen!$B$27,9)="J"),Voorzieningen!$B$48,0),0)+IFERROR(IF(AND(Voorzieningen!$B$50&lt;&gt;"",INDEX(Invoer!$H$18:$S$57,Voorzieningen!$B$50,9)="J"),Voorzieningen!$B$71,0),0)+IFERROR(IF(AND(Voorzieningen!$B$73&lt;&gt;"",INDEX(Invoer!$H$18:$S$57,Voorzieningen!$B$73,9)="J"),Voorzieningen!$B$94,0),0)+IFERROR(IF(AND(Voorzieningen!$B$96&lt;&gt;"",INDEX(Invoer!$H$18:$S$57,Voorzieningen!$B$96,9)="J"),Voorzieningen!$B$117,0),0)+IFERROR(IF(AND(Voorzieningen!$B$119&lt;&gt;"",INDEX(Invoer!$H$18:$S$57,Voorzieningen!$B$119,9)="J"),Voorzieningen!$B$140,0),0)+0.125,0.25)</f>
        <v/>
      </c>
      <c r="L7" s="13">
        <f>FLOOR(IFERROR(IF(AND(Voorzieningen!$B$4&lt;&gt;"",INDEX(Invoer!$H$18:$S$57,Voorzieningen!$B$4,10)="J"),Voorzieningen!$B$25,0),0)+IFERROR(IF(AND(Voorzieningen!$B$27&lt;&gt;"",INDEX(Invoer!$H$18:$S$57,Voorzieningen!$B$27,10)="J"),Voorzieningen!$B$48,0),0)+IFERROR(IF(AND(Voorzieningen!$B$50&lt;&gt;"",INDEX(Invoer!$H$18:$S$57,Voorzieningen!$B$50,10)="J"),Voorzieningen!$B$71,0),0)+IFERROR(IF(AND(Voorzieningen!$B$73&lt;&gt;"",INDEX(Invoer!$H$18:$S$57,Voorzieningen!$B$73,10)="J"),Voorzieningen!$B$94,0),0)+IFERROR(IF(AND(Voorzieningen!$B$96&lt;&gt;"",INDEX(Invoer!$H$18:$S$57,Voorzieningen!$B$96,10)="J"),Voorzieningen!$B$117,0),0)+IFERROR(IF(AND(Voorzieningen!$B$119&lt;&gt;"",INDEX(Invoer!$H$18:$S$57,Voorzieningen!$B$119,10)="J"),Voorzieningen!$B$140,0),0)+0.125,0.25)</f>
        <v/>
      </c>
      <c r="M7" s="13">
        <f>FLOOR(IFERROR(IF(AND(Voorzieningen!$B$4&lt;&gt;"",INDEX(Invoer!$H$18:$S$57,Voorzieningen!$B$4,11)="J"),Voorzieningen!$B$25,0),0)+IFERROR(IF(AND(Voorzieningen!$B$27&lt;&gt;"",INDEX(Invoer!$H$18:$S$57,Voorzieningen!$B$27,11)="J"),Voorzieningen!$B$48,0),0)+IFERROR(IF(AND(Voorzieningen!$B$50&lt;&gt;"",INDEX(Invoer!$H$18:$S$57,Voorzieningen!$B$50,11)="J"),Voorzieningen!$B$71,0),0)+IFERROR(IF(AND(Voorzieningen!$B$73&lt;&gt;"",INDEX(Invoer!$H$18:$S$57,Voorzieningen!$B$73,11)="J"),Voorzieningen!$B$94,0),0)+IFERROR(IF(AND(Voorzieningen!$B$96&lt;&gt;"",INDEX(Invoer!$H$18:$S$57,Voorzieningen!$B$96,11)="J"),Voorzieningen!$B$117,0),0)+IFERROR(IF(AND(Voorzieningen!$B$119&lt;&gt;"",INDEX(Invoer!$H$18:$S$57,Voorzieningen!$B$119,11)="J"),Voorzieningen!$B$140,0),0)+0.125,0.25)</f>
        <v/>
      </c>
      <c r="N7" s="13">
        <f>FLOOR(IFERROR(IF(AND(Voorzieningen!$B$4&lt;&gt;"",INDEX(Invoer!$H$18:$S$57,Voorzieningen!$B$4,12)="J"),Voorzieningen!$B$25,0),0)+IFERROR(IF(AND(Voorzieningen!$B$27&lt;&gt;"",INDEX(Invoer!$H$18:$S$57,Voorzieningen!$B$27,12)="J"),Voorzieningen!$B$48,0),0)+IFERROR(IF(AND(Voorzieningen!$B$50&lt;&gt;"",INDEX(Invoer!$H$18:$S$57,Voorzieningen!$B$50,12)="J"),Voorzieningen!$B$71,0),0)+IFERROR(IF(AND(Voorzieningen!$B$73&lt;&gt;"",INDEX(Invoer!$H$18:$S$57,Voorzieningen!$B$73,12)="J"),Voorzieningen!$B$94,0),0)+IFERROR(IF(AND(Voorzieningen!$B$96&lt;&gt;"",INDEX(Invoer!$H$18:$S$57,Voorzieningen!$B$96,12)="J"),Voorzieningen!$B$117,0),0)+IFERROR(IF(AND(Voorzieningen!$B$119&lt;&gt;"",INDEX(Invoer!$H$18:$S$57,Voorzieningen!$B$119,12)="J"),Voorzieningen!$B$140,0),0)+0.125,0.25)</f>
        <v/>
      </c>
      <c r="O7" s="13">
        <f>SUM(C7:N7)</f>
        <v/>
      </c>
    </row>
    <row r="8">
      <c r="A8" s="5" t="inlineStr">
        <is>
          <t>R6</t>
        </is>
      </c>
      <c r="B8" t="inlineStr">
        <is>
          <t>Sanitaire voorzieningen (§2.6)</t>
        </is>
      </c>
      <c r="C8" s="13">
        <f>FLOOR(IFERROR(IF(AND(Voorzieningen!$B$144&lt;&gt;"",INDEX(Invoer!$H$18:$S$57,Voorzieningen!$B$144,1)="J"),Voorzieningen!$B$166,0),0)+IFERROR(IF(AND(Voorzieningen!$B$168&lt;&gt;"",INDEX(Invoer!$H$18:$S$57,Voorzieningen!$B$168,1)="J"),Voorzieningen!$B$190,0),0)+IFERROR(IF(AND(Voorzieningen!$B$192&lt;&gt;"",INDEX(Invoer!$H$18:$S$57,Voorzieningen!$B$192,1)="J"),Voorzieningen!$B$214,0),0)+IFERROR(IF(AND(Voorzieningen!$B$216&lt;&gt;"",INDEX(Invoer!$H$18:$S$57,Voorzieningen!$B$216,1)="J"),Voorzieningen!$B$238,0),0)+IFERROR(IF(AND(Voorzieningen!$B$240&lt;&gt;"",INDEX(Invoer!$H$18:$S$57,Voorzieningen!$B$240,1)="J"),Voorzieningen!$B$262,0),0)+IFERROR(IF(AND(Voorzieningen!$B$264&lt;&gt;"",INDEX(Invoer!$H$18:$S$57,Voorzieningen!$B$264,1)="J"),Voorzieningen!$B$286,0),0)+0.125,0.25)</f>
        <v/>
      </c>
      <c r="D8" s="13">
        <f>FLOOR(IFERROR(IF(AND(Voorzieningen!$B$144&lt;&gt;"",INDEX(Invoer!$H$18:$S$57,Voorzieningen!$B$144,2)="J"),Voorzieningen!$B$166,0),0)+IFERROR(IF(AND(Voorzieningen!$B$168&lt;&gt;"",INDEX(Invoer!$H$18:$S$57,Voorzieningen!$B$168,2)="J"),Voorzieningen!$B$190,0),0)+IFERROR(IF(AND(Voorzieningen!$B$192&lt;&gt;"",INDEX(Invoer!$H$18:$S$57,Voorzieningen!$B$192,2)="J"),Voorzieningen!$B$214,0),0)+IFERROR(IF(AND(Voorzieningen!$B$216&lt;&gt;"",INDEX(Invoer!$H$18:$S$57,Voorzieningen!$B$216,2)="J"),Voorzieningen!$B$238,0),0)+IFERROR(IF(AND(Voorzieningen!$B$240&lt;&gt;"",INDEX(Invoer!$H$18:$S$57,Voorzieningen!$B$240,2)="J"),Voorzieningen!$B$262,0),0)+IFERROR(IF(AND(Voorzieningen!$B$264&lt;&gt;"",INDEX(Invoer!$H$18:$S$57,Voorzieningen!$B$264,2)="J"),Voorzieningen!$B$286,0),0)+0.125,0.25)</f>
        <v/>
      </c>
      <c r="E8" s="13">
        <f>FLOOR(IFERROR(IF(AND(Voorzieningen!$B$144&lt;&gt;"",INDEX(Invoer!$H$18:$S$57,Voorzieningen!$B$144,3)="J"),Voorzieningen!$B$166,0),0)+IFERROR(IF(AND(Voorzieningen!$B$168&lt;&gt;"",INDEX(Invoer!$H$18:$S$57,Voorzieningen!$B$168,3)="J"),Voorzieningen!$B$190,0),0)+IFERROR(IF(AND(Voorzieningen!$B$192&lt;&gt;"",INDEX(Invoer!$H$18:$S$57,Voorzieningen!$B$192,3)="J"),Voorzieningen!$B$214,0),0)+IFERROR(IF(AND(Voorzieningen!$B$216&lt;&gt;"",INDEX(Invoer!$H$18:$S$57,Voorzieningen!$B$216,3)="J"),Voorzieningen!$B$238,0),0)+IFERROR(IF(AND(Voorzieningen!$B$240&lt;&gt;"",INDEX(Invoer!$H$18:$S$57,Voorzieningen!$B$240,3)="J"),Voorzieningen!$B$262,0),0)+IFERROR(IF(AND(Voorzieningen!$B$264&lt;&gt;"",INDEX(Invoer!$H$18:$S$57,Voorzieningen!$B$264,3)="J"),Voorzieningen!$B$286,0),0)+0.125,0.25)</f>
        <v/>
      </c>
      <c r="F8" s="13">
        <f>FLOOR(IFERROR(IF(AND(Voorzieningen!$B$144&lt;&gt;"",INDEX(Invoer!$H$18:$S$57,Voorzieningen!$B$144,4)="J"),Voorzieningen!$B$166,0),0)+IFERROR(IF(AND(Voorzieningen!$B$168&lt;&gt;"",INDEX(Invoer!$H$18:$S$57,Voorzieningen!$B$168,4)="J"),Voorzieningen!$B$190,0),0)+IFERROR(IF(AND(Voorzieningen!$B$192&lt;&gt;"",INDEX(Invoer!$H$18:$S$57,Voorzieningen!$B$192,4)="J"),Voorzieningen!$B$214,0),0)+IFERROR(IF(AND(Voorzieningen!$B$216&lt;&gt;"",INDEX(Invoer!$H$18:$S$57,Voorzieningen!$B$216,4)="J"),Voorzieningen!$B$238,0),0)+IFERROR(IF(AND(Voorzieningen!$B$240&lt;&gt;"",INDEX(Invoer!$H$18:$S$57,Voorzieningen!$B$240,4)="J"),Voorzieningen!$B$262,0),0)+IFERROR(IF(AND(Voorzieningen!$B$264&lt;&gt;"",INDEX(Invoer!$H$18:$S$57,Voorzieningen!$B$264,4)="J"),Voorzieningen!$B$286,0),0)+0.125,0.25)</f>
        <v/>
      </c>
      <c r="G8" s="13">
        <f>FLOOR(IFERROR(IF(AND(Voorzieningen!$B$144&lt;&gt;"",INDEX(Invoer!$H$18:$S$57,Voorzieningen!$B$144,5)="J"),Voorzieningen!$B$166,0),0)+IFERROR(IF(AND(Voorzieningen!$B$168&lt;&gt;"",INDEX(Invoer!$H$18:$S$57,Voorzieningen!$B$168,5)="J"),Voorzieningen!$B$190,0),0)+IFERROR(IF(AND(Voorzieningen!$B$192&lt;&gt;"",INDEX(Invoer!$H$18:$S$57,Voorzieningen!$B$192,5)="J"),Voorzieningen!$B$214,0),0)+IFERROR(IF(AND(Voorzieningen!$B$216&lt;&gt;"",INDEX(Invoer!$H$18:$S$57,Voorzieningen!$B$216,5)="J"),Voorzieningen!$B$238,0),0)+IFERROR(IF(AND(Voorzieningen!$B$240&lt;&gt;"",INDEX(Invoer!$H$18:$S$57,Voorzieningen!$B$240,5)="J"),Voorzieningen!$B$262,0),0)+IFERROR(IF(AND(Voorzieningen!$B$264&lt;&gt;"",INDEX(Invoer!$H$18:$S$57,Voorzieningen!$B$264,5)="J"),Voorzieningen!$B$286,0),0)+0.125,0.25)</f>
        <v/>
      </c>
      <c r="H8" s="13">
        <f>FLOOR(IFERROR(IF(AND(Voorzieningen!$B$144&lt;&gt;"",INDEX(Invoer!$H$18:$S$57,Voorzieningen!$B$144,6)="J"),Voorzieningen!$B$166,0),0)+IFERROR(IF(AND(Voorzieningen!$B$168&lt;&gt;"",INDEX(Invoer!$H$18:$S$57,Voorzieningen!$B$168,6)="J"),Voorzieningen!$B$190,0),0)+IFERROR(IF(AND(Voorzieningen!$B$192&lt;&gt;"",INDEX(Invoer!$H$18:$S$57,Voorzieningen!$B$192,6)="J"),Voorzieningen!$B$214,0),0)+IFERROR(IF(AND(Voorzieningen!$B$216&lt;&gt;"",INDEX(Invoer!$H$18:$S$57,Voorzieningen!$B$216,6)="J"),Voorzieningen!$B$238,0),0)+IFERROR(IF(AND(Voorzieningen!$B$240&lt;&gt;"",INDEX(Invoer!$H$18:$S$57,Voorzieningen!$B$240,6)="J"),Voorzieningen!$B$262,0),0)+IFERROR(IF(AND(Voorzieningen!$B$264&lt;&gt;"",INDEX(Invoer!$H$18:$S$57,Voorzieningen!$B$264,6)="J"),Voorzieningen!$B$286,0),0)+0.125,0.25)</f>
        <v/>
      </c>
      <c r="I8" s="13">
        <f>FLOOR(IFERROR(IF(AND(Voorzieningen!$B$144&lt;&gt;"",INDEX(Invoer!$H$18:$S$57,Voorzieningen!$B$144,7)="J"),Voorzieningen!$B$166,0),0)+IFERROR(IF(AND(Voorzieningen!$B$168&lt;&gt;"",INDEX(Invoer!$H$18:$S$57,Voorzieningen!$B$168,7)="J"),Voorzieningen!$B$190,0),0)+IFERROR(IF(AND(Voorzieningen!$B$192&lt;&gt;"",INDEX(Invoer!$H$18:$S$57,Voorzieningen!$B$192,7)="J"),Voorzieningen!$B$214,0),0)+IFERROR(IF(AND(Voorzieningen!$B$216&lt;&gt;"",INDEX(Invoer!$H$18:$S$57,Voorzieningen!$B$216,7)="J"),Voorzieningen!$B$238,0),0)+IFERROR(IF(AND(Voorzieningen!$B$240&lt;&gt;"",INDEX(Invoer!$H$18:$S$57,Voorzieningen!$B$240,7)="J"),Voorzieningen!$B$262,0),0)+IFERROR(IF(AND(Voorzieningen!$B$264&lt;&gt;"",INDEX(Invoer!$H$18:$S$57,Voorzieningen!$B$264,7)="J"),Voorzieningen!$B$286,0),0)+0.125,0.25)</f>
        <v/>
      </c>
      <c r="J8" s="13">
        <f>FLOOR(IFERROR(IF(AND(Voorzieningen!$B$144&lt;&gt;"",INDEX(Invoer!$H$18:$S$57,Voorzieningen!$B$144,8)="J"),Voorzieningen!$B$166,0),0)+IFERROR(IF(AND(Voorzieningen!$B$168&lt;&gt;"",INDEX(Invoer!$H$18:$S$57,Voorzieningen!$B$168,8)="J"),Voorzieningen!$B$190,0),0)+IFERROR(IF(AND(Voorzieningen!$B$192&lt;&gt;"",INDEX(Invoer!$H$18:$S$57,Voorzieningen!$B$192,8)="J"),Voorzieningen!$B$214,0),0)+IFERROR(IF(AND(Voorzieningen!$B$216&lt;&gt;"",INDEX(Invoer!$H$18:$S$57,Voorzieningen!$B$216,8)="J"),Voorzieningen!$B$238,0),0)+IFERROR(IF(AND(Voorzieningen!$B$240&lt;&gt;"",INDEX(Invoer!$H$18:$S$57,Voorzieningen!$B$240,8)="J"),Voorzieningen!$B$262,0),0)+IFERROR(IF(AND(Voorzieningen!$B$264&lt;&gt;"",INDEX(Invoer!$H$18:$S$57,Voorzieningen!$B$264,8)="J"),Voorzieningen!$B$286,0),0)+0.125,0.25)</f>
        <v/>
      </c>
      <c r="K8" s="13">
        <f>FLOOR(IFERROR(IF(AND(Voorzieningen!$B$144&lt;&gt;"",INDEX(Invoer!$H$18:$S$57,Voorzieningen!$B$144,9)="J"),Voorzieningen!$B$166,0),0)+IFERROR(IF(AND(Voorzieningen!$B$168&lt;&gt;"",INDEX(Invoer!$H$18:$S$57,Voorzieningen!$B$168,9)="J"),Voorzieningen!$B$190,0),0)+IFERROR(IF(AND(Voorzieningen!$B$192&lt;&gt;"",INDEX(Invoer!$H$18:$S$57,Voorzieningen!$B$192,9)="J"),Voorzieningen!$B$214,0),0)+IFERROR(IF(AND(Voorzieningen!$B$216&lt;&gt;"",INDEX(Invoer!$H$18:$S$57,Voorzieningen!$B$216,9)="J"),Voorzieningen!$B$238,0),0)+IFERROR(IF(AND(Voorzieningen!$B$240&lt;&gt;"",INDEX(Invoer!$H$18:$S$57,Voorzieningen!$B$240,9)="J"),Voorzieningen!$B$262,0),0)+IFERROR(IF(AND(Voorzieningen!$B$264&lt;&gt;"",INDEX(Invoer!$H$18:$S$57,Voorzieningen!$B$264,9)="J"),Voorzieningen!$B$286,0),0)+0.125,0.25)</f>
        <v/>
      </c>
      <c r="L8" s="13">
        <f>FLOOR(IFERROR(IF(AND(Voorzieningen!$B$144&lt;&gt;"",INDEX(Invoer!$H$18:$S$57,Voorzieningen!$B$144,10)="J"),Voorzieningen!$B$166,0),0)+IFERROR(IF(AND(Voorzieningen!$B$168&lt;&gt;"",INDEX(Invoer!$H$18:$S$57,Voorzieningen!$B$168,10)="J"),Voorzieningen!$B$190,0),0)+IFERROR(IF(AND(Voorzieningen!$B$192&lt;&gt;"",INDEX(Invoer!$H$18:$S$57,Voorzieningen!$B$192,10)="J"),Voorzieningen!$B$214,0),0)+IFERROR(IF(AND(Voorzieningen!$B$216&lt;&gt;"",INDEX(Invoer!$H$18:$S$57,Voorzieningen!$B$216,10)="J"),Voorzieningen!$B$238,0),0)+IFERROR(IF(AND(Voorzieningen!$B$240&lt;&gt;"",INDEX(Invoer!$H$18:$S$57,Voorzieningen!$B$240,10)="J"),Voorzieningen!$B$262,0),0)+IFERROR(IF(AND(Voorzieningen!$B$264&lt;&gt;"",INDEX(Invoer!$H$18:$S$57,Voorzieningen!$B$264,10)="J"),Voorzieningen!$B$286,0),0)+0.125,0.25)</f>
        <v/>
      </c>
      <c r="M8" s="13">
        <f>FLOOR(IFERROR(IF(AND(Voorzieningen!$B$144&lt;&gt;"",INDEX(Invoer!$H$18:$S$57,Voorzieningen!$B$144,11)="J"),Voorzieningen!$B$166,0),0)+IFERROR(IF(AND(Voorzieningen!$B$168&lt;&gt;"",INDEX(Invoer!$H$18:$S$57,Voorzieningen!$B$168,11)="J"),Voorzieningen!$B$190,0),0)+IFERROR(IF(AND(Voorzieningen!$B$192&lt;&gt;"",INDEX(Invoer!$H$18:$S$57,Voorzieningen!$B$192,11)="J"),Voorzieningen!$B$214,0),0)+IFERROR(IF(AND(Voorzieningen!$B$216&lt;&gt;"",INDEX(Invoer!$H$18:$S$57,Voorzieningen!$B$216,11)="J"),Voorzieningen!$B$238,0),0)+IFERROR(IF(AND(Voorzieningen!$B$240&lt;&gt;"",INDEX(Invoer!$H$18:$S$57,Voorzieningen!$B$240,11)="J"),Voorzieningen!$B$262,0),0)+IFERROR(IF(AND(Voorzieningen!$B$264&lt;&gt;"",INDEX(Invoer!$H$18:$S$57,Voorzieningen!$B$264,11)="J"),Voorzieningen!$B$286,0),0)+0.125,0.25)</f>
        <v/>
      </c>
      <c r="N8" s="13">
        <f>FLOOR(IFERROR(IF(AND(Voorzieningen!$B$144&lt;&gt;"",INDEX(Invoer!$H$18:$S$57,Voorzieningen!$B$144,12)="J"),Voorzieningen!$B$166,0),0)+IFERROR(IF(AND(Voorzieningen!$B$168&lt;&gt;"",INDEX(Invoer!$H$18:$S$57,Voorzieningen!$B$168,12)="J"),Voorzieningen!$B$190,0),0)+IFERROR(IF(AND(Voorzieningen!$B$192&lt;&gt;"",INDEX(Invoer!$H$18:$S$57,Voorzieningen!$B$192,12)="J"),Voorzieningen!$B$214,0),0)+IFERROR(IF(AND(Voorzieningen!$B$216&lt;&gt;"",INDEX(Invoer!$H$18:$S$57,Voorzieningen!$B$216,12)="J"),Voorzieningen!$B$238,0),0)+IFERROR(IF(AND(Voorzieningen!$B$240&lt;&gt;"",INDEX(Invoer!$H$18:$S$57,Voorzieningen!$B$240,12)="J"),Voorzieningen!$B$262,0),0)+IFERROR(IF(AND(Voorzieningen!$B$264&lt;&gt;"",INDEX(Invoer!$H$18:$S$57,Voorzieningen!$B$264,12)="J"),Voorzieningen!$B$286,0),0)+0.125,0.25)</f>
        <v/>
      </c>
      <c r="O8" s="13">
        <f>SUM(C8:N8)</f>
        <v/>
      </c>
    </row>
    <row r="9">
      <c r="A9" s="5" t="inlineStr">
        <is>
          <t>R7</t>
        </is>
      </c>
      <c r="B9" t="inlineStr">
        <is>
          <t>Gemeenschappelijke vertrekken (§2.7) [handmatig]</t>
        </is>
      </c>
      <c r="C9" s="13">
        <f>0</f>
        <v/>
      </c>
      <c r="D9" s="13">
        <f>0</f>
        <v/>
      </c>
      <c r="E9" s="13">
        <f>0</f>
        <v/>
      </c>
      <c r="F9" s="13">
        <f>0</f>
        <v/>
      </c>
      <c r="G9" s="13">
        <f>0</f>
        <v/>
      </c>
      <c r="H9" s="13">
        <f>0</f>
        <v/>
      </c>
      <c r="I9" s="13">
        <f>0</f>
        <v/>
      </c>
      <c r="J9" s="13">
        <f>0</f>
        <v/>
      </c>
      <c r="K9" s="13">
        <f>0</f>
        <v/>
      </c>
      <c r="L9" s="13">
        <f>0</f>
        <v/>
      </c>
      <c r="M9" s="13">
        <f>0</f>
        <v/>
      </c>
      <c r="N9" s="13">
        <f>0</f>
        <v/>
      </c>
      <c r="O9" s="13">
        <f>SUM(C9:N9)</f>
        <v/>
      </c>
    </row>
    <row r="10">
      <c r="A10" s="5" t="inlineStr">
        <is>
          <t>R8</t>
        </is>
      </c>
      <c r="B10" t="inlineStr">
        <is>
          <t>Buitenruimten (§2.8)</t>
        </is>
      </c>
      <c r="C10" s="13">
        <f>FLOOR(MIN(15,SUMPRODUCT((Invoer!$C$18:$C$57="Buitenruimte privé")*(Invoer!$H$18:$H$57="J")*(2+0.35*Invoer!$D$18:$D$57)/IF(Invoer!$T$18:$T$57=0,1,Invoer!$T$18:$T$57))+SUMPRODUCT((Invoer!$C$18:$C$57="Buitenruimte gemeenschappelijk")*(Invoer!$H$18:$H$57="J")*0.75*Invoer!$D$18:$D$57/IF(Invoer!$T$18:$T$57=0,1,Invoer!$T$18:$T$57)/IF(Invoer!$B$15=0,1,Invoer!$B$15)))+0.125,0.25)</f>
        <v/>
      </c>
      <c r="D10" s="13">
        <f>FLOOR(MIN(15,SUMPRODUCT((Invoer!$C$18:$C$57="Buitenruimte privé")*(Invoer!$I$18:$I$57="J")*(2+0.35*Invoer!$D$18:$D$57)/IF(Invoer!$T$18:$T$57=0,1,Invoer!$T$18:$T$57))+SUMPRODUCT((Invoer!$C$18:$C$57="Buitenruimte gemeenschappelijk")*(Invoer!$I$18:$I$57="J")*0.75*Invoer!$D$18:$D$57/IF(Invoer!$T$18:$T$57=0,1,Invoer!$T$18:$T$57)/IF(Invoer!$B$15=0,1,Invoer!$B$15)))+0.125,0.25)</f>
        <v/>
      </c>
      <c r="E10" s="13">
        <f>FLOOR(MIN(15,SUMPRODUCT((Invoer!$C$18:$C$57="Buitenruimte privé")*(Invoer!$J$18:$J$57="J")*(2+0.35*Invoer!$D$18:$D$57)/IF(Invoer!$T$18:$T$57=0,1,Invoer!$T$18:$T$57))+SUMPRODUCT((Invoer!$C$18:$C$57="Buitenruimte gemeenschappelijk")*(Invoer!$J$18:$J$57="J")*0.75*Invoer!$D$18:$D$57/IF(Invoer!$T$18:$T$57=0,1,Invoer!$T$18:$T$57)/IF(Invoer!$B$15=0,1,Invoer!$B$15)))+0.125,0.25)</f>
        <v/>
      </c>
      <c r="F10" s="13">
        <f>FLOOR(MIN(15,SUMPRODUCT((Invoer!$C$18:$C$57="Buitenruimte privé")*(Invoer!$K$18:$K$57="J")*(2+0.35*Invoer!$D$18:$D$57)/IF(Invoer!$T$18:$T$57=0,1,Invoer!$T$18:$T$57))+SUMPRODUCT((Invoer!$C$18:$C$57="Buitenruimte gemeenschappelijk")*(Invoer!$K$18:$K$57="J")*0.75*Invoer!$D$18:$D$57/IF(Invoer!$T$18:$T$57=0,1,Invoer!$T$18:$T$57)/IF(Invoer!$B$15=0,1,Invoer!$B$15)))+0.125,0.25)</f>
        <v/>
      </c>
      <c r="G10" s="13">
        <f>FLOOR(MIN(15,SUMPRODUCT((Invoer!$C$18:$C$57="Buitenruimte privé")*(Invoer!$L$18:$L$57="J")*(2+0.35*Invoer!$D$18:$D$57)/IF(Invoer!$T$18:$T$57=0,1,Invoer!$T$18:$T$57))+SUMPRODUCT((Invoer!$C$18:$C$57="Buitenruimte gemeenschappelijk")*(Invoer!$L$18:$L$57="J")*0.75*Invoer!$D$18:$D$57/IF(Invoer!$T$18:$T$57=0,1,Invoer!$T$18:$T$57)/IF(Invoer!$B$15=0,1,Invoer!$B$15)))+0.125,0.25)</f>
        <v/>
      </c>
      <c r="H10" s="13">
        <f>FLOOR(MIN(15,SUMPRODUCT((Invoer!$C$18:$C$57="Buitenruimte privé")*(Invoer!$M$18:$M$57="J")*(2+0.35*Invoer!$D$18:$D$57)/IF(Invoer!$T$18:$T$57=0,1,Invoer!$T$18:$T$57))+SUMPRODUCT((Invoer!$C$18:$C$57="Buitenruimte gemeenschappelijk")*(Invoer!$M$18:$M$57="J")*0.75*Invoer!$D$18:$D$57/IF(Invoer!$T$18:$T$57=0,1,Invoer!$T$18:$T$57)/IF(Invoer!$B$15=0,1,Invoer!$B$15)))+0.125,0.25)</f>
        <v/>
      </c>
      <c r="I10" s="13">
        <f>FLOOR(MIN(15,SUMPRODUCT((Invoer!$C$18:$C$57="Buitenruimte privé")*(Invoer!$N$18:$N$57="J")*(2+0.35*Invoer!$D$18:$D$57)/IF(Invoer!$T$18:$T$57=0,1,Invoer!$T$18:$T$57))+SUMPRODUCT((Invoer!$C$18:$C$57="Buitenruimte gemeenschappelijk")*(Invoer!$N$18:$N$57="J")*0.75*Invoer!$D$18:$D$57/IF(Invoer!$T$18:$T$57=0,1,Invoer!$T$18:$T$57)/IF(Invoer!$B$15=0,1,Invoer!$B$15)))+0.125,0.25)</f>
        <v/>
      </c>
      <c r="J10" s="13">
        <f>FLOOR(MIN(15,SUMPRODUCT((Invoer!$C$18:$C$57="Buitenruimte privé")*(Invoer!$O$18:$O$57="J")*(2+0.35*Invoer!$D$18:$D$57)/IF(Invoer!$T$18:$T$57=0,1,Invoer!$T$18:$T$57))+SUMPRODUCT((Invoer!$C$18:$C$57="Buitenruimte gemeenschappelijk")*(Invoer!$O$18:$O$57="J")*0.75*Invoer!$D$18:$D$57/IF(Invoer!$T$18:$T$57=0,1,Invoer!$T$18:$T$57)/IF(Invoer!$B$15=0,1,Invoer!$B$15)))+0.125,0.25)</f>
        <v/>
      </c>
      <c r="K10" s="13">
        <f>FLOOR(MIN(15,SUMPRODUCT((Invoer!$C$18:$C$57="Buitenruimte privé")*(Invoer!$P$18:$P$57="J")*(2+0.35*Invoer!$D$18:$D$57)/IF(Invoer!$T$18:$T$57=0,1,Invoer!$T$18:$T$57))+SUMPRODUCT((Invoer!$C$18:$C$57="Buitenruimte gemeenschappelijk")*(Invoer!$P$18:$P$57="J")*0.75*Invoer!$D$18:$D$57/IF(Invoer!$T$18:$T$57=0,1,Invoer!$T$18:$T$57)/IF(Invoer!$B$15=0,1,Invoer!$B$15)))+0.125,0.25)</f>
        <v/>
      </c>
      <c r="L10" s="13">
        <f>FLOOR(MIN(15,SUMPRODUCT((Invoer!$C$18:$C$57="Buitenruimte privé")*(Invoer!$Q$18:$Q$57="J")*(2+0.35*Invoer!$D$18:$D$57)/IF(Invoer!$T$18:$T$57=0,1,Invoer!$T$18:$T$57))+SUMPRODUCT((Invoer!$C$18:$C$57="Buitenruimte gemeenschappelijk")*(Invoer!$Q$18:$Q$57="J")*0.75*Invoer!$D$18:$D$57/IF(Invoer!$T$18:$T$57=0,1,Invoer!$T$18:$T$57)/IF(Invoer!$B$15=0,1,Invoer!$B$15)))+0.125,0.25)</f>
        <v/>
      </c>
      <c r="M10" s="13">
        <f>FLOOR(MIN(15,SUMPRODUCT((Invoer!$C$18:$C$57="Buitenruimte privé")*(Invoer!$R$18:$R$57="J")*(2+0.35*Invoer!$D$18:$D$57)/IF(Invoer!$T$18:$T$57=0,1,Invoer!$T$18:$T$57))+SUMPRODUCT((Invoer!$C$18:$C$57="Buitenruimte gemeenschappelijk")*(Invoer!$R$18:$R$57="J")*0.75*Invoer!$D$18:$D$57/IF(Invoer!$T$18:$T$57=0,1,Invoer!$T$18:$T$57)/IF(Invoer!$B$15=0,1,Invoer!$B$15)))+0.125,0.25)</f>
        <v/>
      </c>
      <c r="N10" s="13">
        <f>FLOOR(MIN(15,SUMPRODUCT((Invoer!$C$18:$C$57="Buitenruimte privé")*(Invoer!$S$18:$S$57="J")*(2+0.35*Invoer!$D$18:$D$57)/IF(Invoer!$T$18:$T$57=0,1,Invoer!$T$18:$T$57))+SUMPRODUCT((Invoer!$C$18:$C$57="Buitenruimte gemeenschappelijk")*(Invoer!$S$18:$S$57="J")*0.75*Invoer!$D$18:$D$57/IF(Invoer!$T$18:$T$57=0,1,Invoer!$T$18:$T$57)/IF(Invoer!$B$15=0,1,Invoer!$B$15)))+0.125,0.25)</f>
        <v/>
      </c>
      <c r="O10" s="13">
        <f>SUM(C10:N10)</f>
        <v/>
      </c>
    </row>
    <row r="11">
      <c r="A11" s="5" t="inlineStr">
        <is>
          <t>R9</t>
        </is>
      </c>
      <c r="B11" t="inlineStr">
        <is>
          <t>Gemeenschappelijke parkeerruimte (§2.9)</t>
        </is>
      </c>
      <c r="C11" s="13">
        <f>FLOOR(SUMPRODUCT((Invoer!$C$18:$C$57="Gemeenschappelijk vertrek")*(Invoer!$H$18:$H$57="J")*Invoer!$D$18:$D$57*1/IF(Invoer!$T$18:$T$57=0,1,Invoer!$T$18:$T$57)/IF(Invoer!$B$15=0,1,Invoer!$B$15))+SUMPRODUCT((Invoer!$C$18:$C$57="Gemeenschappelijke overige ruimte")*(Invoer!$H$18:$H$57="J")*Invoer!$D$18:$D$57*0.75/IF(Invoer!$T$18:$T$57=0,1,Invoer!$T$18:$T$57)/IF(Invoer!$B$15=0,1,Invoer!$B$15))+0.125,0.25)</f>
        <v/>
      </c>
      <c r="D11" s="13">
        <f>FLOOR(SUMPRODUCT((Invoer!$C$18:$C$57="Gemeenschappelijk vertrek")*(Invoer!$I$18:$I$57="J")*Invoer!$D$18:$D$57*1/IF(Invoer!$T$18:$T$57=0,1,Invoer!$T$18:$T$57)/IF(Invoer!$B$15=0,1,Invoer!$B$15))+SUMPRODUCT((Invoer!$C$18:$C$57="Gemeenschappelijke overige ruimte")*(Invoer!$I$18:$I$57="J")*Invoer!$D$18:$D$57*0.75/IF(Invoer!$T$18:$T$57=0,1,Invoer!$T$18:$T$57)/IF(Invoer!$B$15=0,1,Invoer!$B$15))+0.125,0.25)</f>
        <v/>
      </c>
      <c r="E11" s="13">
        <f>FLOOR(SUMPRODUCT((Invoer!$C$18:$C$57="Gemeenschappelijk vertrek")*(Invoer!$J$18:$J$57="J")*Invoer!$D$18:$D$57*1/IF(Invoer!$T$18:$T$57=0,1,Invoer!$T$18:$T$57)/IF(Invoer!$B$15=0,1,Invoer!$B$15))+SUMPRODUCT((Invoer!$C$18:$C$57="Gemeenschappelijke overige ruimte")*(Invoer!$J$18:$J$57="J")*Invoer!$D$18:$D$57*0.75/IF(Invoer!$T$18:$T$57=0,1,Invoer!$T$18:$T$57)/IF(Invoer!$B$15=0,1,Invoer!$B$15))+0.125,0.25)</f>
        <v/>
      </c>
      <c r="F11" s="13">
        <f>FLOOR(SUMPRODUCT((Invoer!$C$18:$C$57="Gemeenschappelijk vertrek")*(Invoer!$K$18:$K$57="J")*Invoer!$D$18:$D$57*1/IF(Invoer!$T$18:$T$57=0,1,Invoer!$T$18:$T$57)/IF(Invoer!$B$15=0,1,Invoer!$B$15))+SUMPRODUCT((Invoer!$C$18:$C$57="Gemeenschappelijke overige ruimte")*(Invoer!$K$18:$K$57="J")*Invoer!$D$18:$D$57*0.75/IF(Invoer!$T$18:$T$57=0,1,Invoer!$T$18:$T$57)/IF(Invoer!$B$15=0,1,Invoer!$B$15))+0.125,0.25)</f>
        <v/>
      </c>
      <c r="G11" s="13">
        <f>FLOOR(SUMPRODUCT((Invoer!$C$18:$C$57="Gemeenschappelijk vertrek")*(Invoer!$L$18:$L$57="J")*Invoer!$D$18:$D$57*1/IF(Invoer!$T$18:$T$57=0,1,Invoer!$T$18:$T$57)/IF(Invoer!$B$15=0,1,Invoer!$B$15))+SUMPRODUCT((Invoer!$C$18:$C$57="Gemeenschappelijke overige ruimte")*(Invoer!$L$18:$L$57="J")*Invoer!$D$18:$D$57*0.75/IF(Invoer!$T$18:$T$57=0,1,Invoer!$T$18:$T$57)/IF(Invoer!$B$15=0,1,Invoer!$B$15))+0.125,0.25)</f>
        <v/>
      </c>
      <c r="H11" s="13">
        <f>FLOOR(SUMPRODUCT((Invoer!$C$18:$C$57="Gemeenschappelijk vertrek")*(Invoer!$M$18:$M$57="J")*Invoer!$D$18:$D$57*1/IF(Invoer!$T$18:$T$57=0,1,Invoer!$T$18:$T$57)/IF(Invoer!$B$15=0,1,Invoer!$B$15))+SUMPRODUCT((Invoer!$C$18:$C$57="Gemeenschappelijke overige ruimte")*(Invoer!$M$18:$M$57="J")*Invoer!$D$18:$D$57*0.75/IF(Invoer!$T$18:$T$57=0,1,Invoer!$T$18:$T$57)/IF(Invoer!$B$15=0,1,Invoer!$B$15))+0.125,0.25)</f>
        <v/>
      </c>
      <c r="I11" s="13">
        <f>FLOOR(SUMPRODUCT((Invoer!$C$18:$C$57="Gemeenschappelijk vertrek")*(Invoer!$N$18:$N$57="J")*Invoer!$D$18:$D$57*1/IF(Invoer!$T$18:$T$57=0,1,Invoer!$T$18:$T$57)/IF(Invoer!$B$15=0,1,Invoer!$B$15))+SUMPRODUCT((Invoer!$C$18:$C$57="Gemeenschappelijke overige ruimte")*(Invoer!$N$18:$N$57="J")*Invoer!$D$18:$D$57*0.75/IF(Invoer!$T$18:$T$57=0,1,Invoer!$T$18:$T$57)/IF(Invoer!$B$15=0,1,Invoer!$B$15))+0.125,0.25)</f>
        <v/>
      </c>
      <c r="J11" s="13">
        <f>FLOOR(SUMPRODUCT((Invoer!$C$18:$C$57="Gemeenschappelijk vertrek")*(Invoer!$O$18:$O$57="J")*Invoer!$D$18:$D$57*1/IF(Invoer!$T$18:$T$57=0,1,Invoer!$T$18:$T$57)/IF(Invoer!$B$15=0,1,Invoer!$B$15))+SUMPRODUCT((Invoer!$C$18:$C$57="Gemeenschappelijke overige ruimte")*(Invoer!$O$18:$O$57="J")*Invoer!$D$18:$D$57*0.75/IF(Invoer!$T$18:$T$57=0,1,Invoer!$T$18:$T$57)/IF(Invoer!$B$15=0,1,Invoer!$B$15))+0.125,0.25)</f>
        <v/>
      </c>
      <c r="K11" s="13">
        <f>FLOOR(SUMPRODUCT((Invoer!$C$18:$C$57="Gemeenschappelijk vertrek")*(Invoer!$P$18:$P$57="J")*Invoer!$D$18:$D$57*1/IF(Invoer!$T$18:$T$57=0,1,Invoer!$T$18:$T$57)/IF(Invoer!$B$15=0,1,Invoer!$B$15))+SUMPRODUCT((Invoer!$C$18:$C$57="Gemeenschappelijke overige ruimte")*(Invoer!$P$18:$P$57="J")*Invoer!$D$18:$D$57*0.75/IF(Invoer!$T$18:$T$57=0,1,Invoer!$T$18:$T$57)/IF(Invoer!$B$15=0,1,Invoer!$B$15))+0.125,0.25)</f>
        <v/>
      </c>
      <c r="L11" s="13">
        <f>FLOOR(SUMPRODUCT((Invoer!$C$18:$C$57="Gemeenschappelijk vertrek")*(Invoer!$Q$18:$Q$57="J")*Invoer!$D$18:$D$57*1/IF(Invoer!$T$18:$T$57=0,1,Invoer!$T$18:$T$57)/IF(Invoer!$B$15=0,1,Invoer!$B$15))+SUMPRODUCT((Invoer!$C$18:$C$57="Gemeenschappelijke overige ruimte")*(Invoer!$Q$18:$Q$57="J")*Invoer!$D$18:$D$57*0.75/IF(Invoer!$T$18:$T$57=0,1,Invoer!$T$18:$T$57)/IF(Invoer!$B$15=0,1,Invoer!$B$15))+0.125,0.25)</f>
        <v/>
      </c>
      <c r="M11" s="13">
        <f>FLOOR(SUMPRODUCT((Invoer!$C$18:$C$57="Gemeenschappelijk vertrek")*(Invoer!$R$18:$R$57="J")*Invoer!$D$18:$D$57*1/IF(Invoer!$T$18:$T$57=0,1,Invoer!$T$18:$T$57)/IF(Invoer!$B$15=0,1,Invoer!$B$15))+SUMPRODUCT((Invoer!$C$18:$C$57="Gemeenschappelijke overige ruimte")*(Invoer!$R$18:$R$57="J")*Invoer!$D$18:$D$57*0.75/IF(Invoer!$T$18:$T$57=0,1,Invoer!$T$18:$T$57)/IF(Invoer!$B$15=0,1,Invoer!$B$15))+0.125,0.25)</f>
        <v/>
      </c>
      <c r="N11" s="13">
        <f>FLOOR(SUMPRODUCT((Invoer!$C$18:$C$57="Gemeenschappelijk vertrek")*(Invoer!$S$18:$S$57="J")*Invoer!$D$18:$D$57*1/IF(Invoer!$T$18:$T$57=0,1,Invoer!$T$18:$T$57)/IF(Invoer!$B$15=0,1,Invoer!$B$15))+SUMPRODUCT((Invoer!$C$18:$C$57="Gemeenschappelijke overige ruimte")*(Invoer!$S$18:$S$57="J")*Invoer!$D$18:$D$57*0.75/IF(Invoer!$T$18:$T$57=0,1,Invoer!$T$18:$T$57)/IF(Invoer!$B$15=0,1,Invoer!$B$15))+0.125,0.25)</f>
        <v/>
      </c>
      <c r="O11" s="13">
        <f>SUM(C11:N11)</f>
        <v/>
      </c>
    </row>
    <row r="12">
      <c r="A12" s="5" t="inlineStr">
        <is>
          <t>R10</t>
        </is>
      </c>
      <c r="B12" t="inlineStr">
        <is>
          <t>Parkeren (§2.10)</t>
        </is>
      </c>
      <c r="C12" s="13">
        <f>FLOOR(Voorzieningen!$B$306+0.125,0.25)</f>
        <v/>
      </c>
      <c r="D12" s="13">
        <f>FLOOR(Voorzieningen!$B$306+0.125,0.25)</f>
        <v/>
      </c>
      <c r="E12" s="13">
        <f>FLOOR(Voorzieningen!$B$306+0.125,0.25)</f>
        <v/>
      </c>
      <c r="F12" s="13">
        <f>FLOOR(Voorzieningen!$B$306+0.125,0.25)</f>
        <v/>
      </c>
      <c r="G12" s="13">
        <f>FLOOR(Voorzieningen!$B$306+0.125,0.25)</f>
        <v/>
      </c>
      <c r="H12" s="13">
        <f>FLOOR(Voorzieningen!$B$306+0.125,0.25)</f>
        <v/>
      </c>
      <c r="I12" s="13">
        <f>FLOOR(Voorzieningen!$B$306+0.125,0.25)</f>
        <v/>
      </c>
      <c r="J12" s="13">
        <f>FLOOR(Voorzieningen!$B$306+0.125,0.25)</f>
        <v/>
      </c>
      <c r="K12" s="13">
        <f>FLOOR(Voorzieningen!$B$306+0.125,0.25)</f>
        <v/>
      </c>
      <c r="L12" s="13">
        <f>FLOOR(Voorzieningen!$B$306+0.125,0.25)</f>
        <v/>
      </c>
      <c r="M12" s="13">
        <f>FLOOR(Voorzieningen!$B$306+0.125,0.25)</f>
        <v/>
      </c>
      <c r="N12" s="13">
        <f>FLOOR(Voorzieningen!$B$306+0.125,0.25)</f>
        <v/>
      </c>
      <c r="O12" s="13">
        <f>SUM(C12:N12)</f>
        <v/>
      </c>
    </row>
    <row r="13">
      <c r="A13" s="5" t="inlineStr">
        <is>
          <t>R11</t>
        </is>
      </c>
      <c r="B13" t="inlineStr">
        <is>
          <t>WOZ-waarde (§2.11)</t>
        </is>
      </c>
      <c r="C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D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E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F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G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H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I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J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K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L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M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N13" s="13">
        <f>IF(OR(Invoer!$B$6="",Invoer!$B$8="",Invoer!$B$8=0),10,IF(Invoer!$B$6/Invoer!$B$8&gt;1.1*IFERROR(INDEX(tbl_corop_woz,MATCH(Invoer!$B$9,tbl_corop_regio,0)),Invoer!$B$6/IF(Invoer!$B$8=0,1,Invoer!$B$8)),14,IF(Invoer!$B$6/Invoer!$B$8&lt;0.9*IFERROR(INDEX(tbl_corop_woz,MATCH(Invoer!$B$9,tbl_corop_regio,0)),Invoer!$B$6/IF(Invoer!$B$8=0,1,Invoer!$B$8)),10,12)))</f>
        <v/>
      </c>
      <c r="O13" s="13">
        <f>SUM(C13:N13)</f>
        <v/>
      </c>
    </row>
    <row r="14">
      <c r="A14" s="5" t="inlineStr">
        <is>
          <t>R12</t>
        </is>
      </c>
      <c r="B14" t="inlineStr">
        <is>
          <t>Bijzondere voorzieningen (§2.12)</t>
        </is>
      </c>
      <c r="C14" s="13">
        <f>FLOOR(Voorzieningen!$B$311+0.125,0.25)</f>
        <v/>
      </c>
      <c r="D14" s="13">
        <f>FLOOR(Voorzieningen!$B$311+0.125,0.25)</f>
        <v/>
      </c>
      <c r="E14" s="13">
        <f>FLOOR(Voorzieningen!$B$311+0.125,0.25)</f>
        <v/>
      </c>
      <c r="F14" s="13">
        <f>FLOOR(Voorzieningen!$B$311+0.125,0.25)</f>
        <v/>
      </c>
      <c r="G14" s="13">
        <f>FLOOR(Voorzieningen!$B$311+0.125,0.25)</f>
        <v/>
      </c>
      <c r="H14" s="13">
        <f>FLOOR(Voorzieningen!$B$311+0.125,0.25)</f>
        <v/>
      </c>
      <c r="I14" s="13">
        <f>FLOOR(Voorzieningen!$B$311+0.125,0.25)</f>
        <v/>
      </c>
      <c r="J14" s="13">
        <f>FLOOR(Voorzieningen!$B$311+0.125,0.25)</f>
        <v/>
      </c>
      <c r="K14" s="13">
        <f>FLOOR(Voorzieningen!$B$311+0.125,0.25)</f>
        <v/>
      </c>
      <c r="L14" s="13">
        <f>FLOOR(Voorzieningen!$B$311+0.125,0.25)</f>
        <v/>
      </c>
      <c r="M14" s="13">
        <f>FLOOR(Voorzieningen!$B$311+0.125,0.25)</f>
        <v/>
      </c>
      <c r="N14" s="13">
        <f>FLOOR(Voorzieningen!$B$311+0.125,0.25)</f>
        <v/>
      </c>
      <c r="O14" s="13">
        <f>SUM(C14:N14)</f>
        <v/>
      </c>
    </row>
    <row r="15">
      <c r="A15" s="5" t="inlineStr">
        <is>
          <t>R13</t>
        </is>
      </c>
      <c r="B15" t="inlineStr">
        <is>
          <t>Aftrekpunten (§2.13)</t>
        </is>
      </c>
      <c r="C15" s="13">
        <f>Voorzieningen!$B$296</f>
        <v/>
      </c>
      <c r="D15" s="13">
        <f>Voorzieningen!$C$296</f>
        <v/>
      </c>
      <c r="E15" s="13">
        <f>Voorzieningen!$D$296</f>
        <v/>
      </c>
      <c r="F15" s="13">
        <f>Voorzieningen!$E$296</f>
        <v/>
      </c>
      <c r="G15" s="13">
        <f>Voorzieningen!$F$296</f>
        <v/>
      </c>
      <c r="H15" s="13">
        <f>Voorzieningen!$G$296</f>
        <v/>
      </c>
      <c r="I15" s="13">
        <f>Voorzieningen!$H$296</f>
        <v/>
      </c>
      <c r="J15" s="13">
        <f>Voorzieningen!$I$296</f>
        <v/>
      </c>
      <c r="K15" s="13">
        <f>Voorzieningen!$J$296</f>
        <v/>
      </c>
      <c r="L15" s="13">
        <f>Voorzieningen!$K$296</f>
        <v/>
      </c>
      <c r="M15" s="13">
        <f>Voorzieningen!$L$296</f>
        <v/>
      </c>
      <c r="N15" s="13">
        <f>Voorzieningen!$M$296</f>
        <v/>
      </c>
      <c r="O15" s="13">
        <f>SUM(C15:N15)</f>
        <v/>
      </c>
    </row>
    <row r="16"/>
    <row r="17">
      <c r="A17" s="5" t="inlineStr">
        <is>
          <t>Subtotaal raw</t>
        </is>
      </c>
      <c r="B17" s="28" t="inlineStr">
        <is>
          <t>Som rubrieken R1-R13</t>
        </is>
      </c>
      <c r="C17" s="15">
        <f>SUM(C3:C15)</f>
        <v/>
      </c>
      <c r="D17" s="15">
        <f>SUM(D3:D15)</f>
        <v/>
      </c>
      <c r="E17" s="15">
        <f>SUM(E3:E15)</f>
        <v/>
      </c>
      <c r="F17" s="15">
        <f>SUM(F3:F15)</f>
        <v/>
      </c>
      <c r="G17" s="15">
        <f>SUM(G3:G15)</f>
        <v/>
      </c>
      <c r="H17" s="15">
        <f>SUM(H3:H15)</f>
        <v/>
      </c>
      <c r="I17" s="15">
        <f>SUM(I3:I15)</f>
        <v/>
      </c>
      <c r="J17" s="15">
        <f>SUM(J3:J15)</f>
        <v/>
      </c>
      <c r="K17" s="15">
        <f>SUM(K3:K15)</f>
        <v/>
      </c>
      <c r="L17" s="15">
        <f>SUM(L3:L15)</f>
        <v/>
      </c>
      <c r="M17" s="15">
        <f>SUM(M3:M15)</f>
        <v/>
      </c>
      <c r="N17" s="15">
        <f>SUM(N3:N15)</f>
        <v/>
      </c>
      <c r="O17" s="15">
        <f>SUM(C17:N17)</f>
        <v/>
      </c>
    </row>
    <row r="18">
      <c r="A18" s="19" t="inlineStr">
        <is>
          <t>Totaal punten</t>
        </is>
      </c>
      <c r="B18" s="28" t="inlineStr">
        <is>
          <t>ROUND(subtotaal, 0)</t>
        </is>
      </c>
      <c r="C18" s="29">
        <f>ROUND(C17,0)</f>
        <v/>
      </c>
      <c r="D18" s="29">
        <f>ROUND(D17,0)</f>
        <v/>
      </c>
      <c r="E18" s="29">
        <f>ROUND(E17,0)</f>
        <v/>
      </c>
      <c r="F18" s="29">
        <f>ROUND(F17,0)</f>
        <v/>
      </c>
      <c r="G18" s="29">
        <f>ROUND(G17,0)</f>
        <v/>
      </c>
      <c r="H18" s="29">
        <f>ROUND(H17,0)</f>
        <v/>
      </c>
      <c r="I18" s="29">
        <f>ROUND(I17,0)</f>
        <v/>
      </c>
      <c r="J18" s="29">
        <f>ROUND(J17,0)</f>
        <v/>
      </c>
      <c r="K18" s="29">
        <f>ROUND(K17,0)</f>
        <v/>
      </c>
      <c r="L18" s="29">
        <f>ROUND(L17,0)</f>
        <v/>
      </c>
      <c r="M18" s="29">
        <f>ROUND(M17,0)</f>
        <v/>
      </c>
      <c r="N18" s="29">
        <f>ROUND(N17,0)</f>
        <v/>
      </c>
      <c r="O18" s="29">
        <f>SUM(C18:N18)</f>
        <v/>
      </c>
    </row>
    <row r="19">
      <c r="A19" s="19" t="inlineStr">
        <is>
          <t>Max huurprijs (€)</t>
        </is>
      </c>
      <c r="B19" s="28" t="inlineStr">
        <is>
          <t>INDEX/MATCH huurprijstabel</t>
        </is>
      </c>
      <c r="C19" s="30">
        <f>IFERROR(INDEX(tbl_huur_onz_bd,MATCH(C18,tbl_huur_onz_pt,0)),"")</f>
        <v/>
      </c>
      <c r="D19" s="30">
        <f>IFERROR(INDEX(tbl_huur_onz_bd,MATCH(D18,tbl_huur_onz_pt,0)),"")</f>
        <v/>
      </c>
      <c r="E19" s="30">
        <f>IFERROR(INDEX(tbl_huur_onz_bd,MATCH(E18,tbl_huur_onz_pt,0)),"")</f>
        <v/>
      </c>
      <c r="F19" s="30">
        <f>IFERROR(INDEX(tbl_huur_onz_bd,MATCH(F18,tbl_huur_onz_pt,0)),"")</f>
        <v/>
      </c>
      <c r="G19" s="30">
        <f>IFERROR(INDEX(tbl_huur_onz_bd,MATCH(G18,tbl_huur_onz_pt,0)),"")</f>
        <v/>
      </c>
      <c r="H19" s="30">
        <f>IFERROR(INDEX(tbl_huur_onz_bd,MATCH(H18,tbl_huur_onz_pt,0)),"")</f>
        <v/>
      </c>
      <c r="I19" s="30">
        <f>IFERROR(INDEX(tbl_huur_onz_bd,MATCH(I18,tbl_huur_onz_pt,0)),"")</f>
        <v/>
      </c>
      <c r="J19" s="30">
        <f>IFERROR(INDEX(tbl_huur_onz_bd,MATCH(J18,tbl_huur_onz_pt,0)),"")</f>
        <v/>
      </c>
      <c r="K19" s="30">
        <f>IFERROR(INDEX(tbl_huur_onz_bd,MATCH(K18,tbl_huur_onz_pt,0)),"")</f>
        <v/>
      </c>
      <c r="L19" s="30">
        <f>IFERROR(INDEX(tbl_huur_onz_bd,MATCH(L18,tbl_huur_onz_pt,0)),"")</f>
        <v/>
      </c>
      <c r="M19" s="30">
        <f>IFERROR(INDEX(tbl_huur_onz_bd,MATCH(M18,tbl_huur_onz_pt,0)),"")</f>
        <v/>
      </c>
      <c r="N19" s="30">
        <f>IFERROR(INDEX(tbl_huur_onz_bd,MATCH(N18,tbl_huur_onz_pt,0)),"")</f>
        <v/>
      </c>
      <c r="O19" s="30">
        <f>SUM(C19:N19)</f>
        <v/>
      </c>
    </row>
    <row r="21">
      <c r="A21" s="31" t="inlineStr">
        <is>
          <t>Pandtotaal onzelfstandig (€)</t>
        </is>
      </c>
      <c r="O21" s="32">
        <f>O19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3">
    <mergeCell ref="A1:O1"/>
    <mergeCell ref="A21:B21"/>
    <mergeCell ref="A16:O16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22" customWidth="1" min="5" max="5"/>
  </cols>
  <sheetData>
    <row r="1" ht="28" customHeight="1">
      <c r="A1" s="1" t="inlineStr">
        <is>
          <t>WWSO — RESULTAAT PER KAMER (per 1 januari 2026)</t>
        </is>
      </c>
    </row>
    <row r="2">
      <c r="A2" s="33" t="inlineStr">
        <is>
          <t>Kamer</t>
        </is>
      </c>
      <c r="B2" s="33" t="inlineStr">
        <is>
          <t>Punten</t>
        </is>
      </c>
      <c r="C2" s="33" t="inlineStr">
        <is>
          <t>Max huurprijs (€)</t>
        </is>
      </c>
      <c r="D2" s="33" t="inlineStr">
        <is>
          <t>Opslag% (monument)</t>
        </is>
      </c>
      <c r="E2" s="33" t="inlineStr">
        <is>
          <t>Max huur met opslag (€)</t>
        </is>
      </c>
    </row>
    <row r="3">
      <c r="A3" t="inlineStr">
        <is>
          <t>Kamer 1</t>
        </is>
      </c>
      <c r="B3" s="34">
        <f>Berekening!C18</f>
        <v/>
      </c>
      <c r="C3" s="35">
        <f>Berekening!C19</f>
        <v/>
      </c>
      <c r="D3" s="36">
        <f>IF(Invoer!$B$16="Rijks",35%,IF(Invoer!$B$16="Gemeente",15%,IF(Invoer!$B$16="Provinciaal",15%,IF(Invoer!$B$16="Beschermd dorpsgezicht",5%,0%))))</f>
        <v/>
      </c>
      <c r="E3" s="37">
        <f>C3*(1+D3)</f>
        <v/>
      </c>
    </row>
    <row r="4">
      <c r="A4" t="inlineStr">
        <is>
          <t>Kamer 2</t>
        </is>
      </c>
      <c r="B4" s="34">
        <f>Berekening!D18</f>
        <v/>
      </c>
      <c r="C4" s="35">
        <f>Berekening!D19</f>
        <v/>
      </c>
      <c r="D4" s="36">
        <f>IF(Invoer!$B$16="Rijks",35%,IF(Invoer!$B$16="Gemeente",15%,IF(Invoer!$B$16="Provinciaal",15%,IF(Invoer!$B$16="Beschermd dorpsgezicht",5%,0%))))</f>
        <v/>
      </c>
      <c r="E4" s="37">
        <f>C4*(1+D4)</f>
        <v/>
      </c>
    </row>
    <row r="5">
      <c r="A5" t="inlineStr">
        <is>
          <t>Kamer 3</t>
        </is>
      </c>
      <c r="B5" s="34">
        <f>Berekening!E18</f>
        <v/>
      </c>
      <c r="C5" s="35">
        <f>Berekening!E19</f>
        <v/>
      </c>
      <c r="D5" s="36">
        <f>IF(Invoer!$B$16="Rijks",35%,IF(Invoer!$B$16="Gemeente",15%,IF(Invoer!$B$16="Provinciaal",15%,IF(Invoer!$B$16="Beschermd dorpsgezicht",5%,0%))))</f>
        <v/>
      </c>
      <c r="E5" s="37">
        <f>C5*(1+D5)</f>
        <v/>
      </c>
    </row>
    <row r="6">
      <c r="A6" t="inlineStr">
        <is>
          <t>Kamer 4</t>
        </is>
      </c>
      <c r="B6" s="34">
        <f>Berekening!F18</f>
        <v/>
      </c>
      <c r="C6" s="35">
        <f>Berekening!F19</f>
        <v/>
      </c>
      <c r="D6" s="36">
        <f>IF(Invoer!$B$16="Rijks",35%,IF(Invoer!$B$16="Gemeente",15%,IF(Invoer!$B$16="Provinciaal",15%,IF(Invoer!$B$16="Beschermd dorpsgezicht",5%,0%))))</f>
        <v/>
      </c>
      <c r="E6" s="37">
        <f>C6*(1+D6)</f>
        <v/>
      </c>
    </row>
    <row r="7">
      <c r="A7" t="inlineStr">
        <is>
          <t>Kamer 5</t>
        </is>
      </c>
      <c r="B7" s="34">
        <f>Berekening!G18</f>
        <v/>
      </c>
      <c r="C7" s="35">
        <f>Berekening!G19</f>
        <v/>
      </c>
      <c r="D7" s="36">
        <f>IF(Invoer!$B$16="Rijks",35%,IF(Invoer!$B$16="Gemeente",15%,IF(Invoer!$B$16="Provinciaal",15%,IF(Invoer!$B$16="Beschermd dorpsgezicht",5%,0%))))</f>
        <v/>
      </c>
      <c r="E7" s="37">
        <f>C7*(1+D7)</f>
        <v/>
      </c>
    </row>
    <row r="8">
      <c r="A8" t="inlineStr">
        <is>
          <t>Kamer 6</t>
        </is>
      </c>
      <c r="B8" s="34">
        <f>Berekening!H18</f>
        <v/>
      </c>
      <c r="C8" s="35">
        <f>Berekening!H19</f>
        <v/>
      </c>
      <c r="D8" s="36">
        <f>IF(Invoer!$B$16="Rijks",35%,IF(Invoer!$B$16="Gemeente",15%,IF(Invoer!$B$16="Provinciaal",15%,IF(Invoer!$B$16="Beschermd dorpsgezicht",5%,0%))))</f>
        <v/>
      </c>
      <c r="E8" s="37">
        <f>C8*(1+D8)</f>
        <v/>
      </c>
    </row>
    <row r="9">
      <c r="A9" t="inlineStr">
        <is>
          <t>Kamer 7</t>
        </is>
      </c>
      <c r="B9" s="34">
        <f>Berekening!I18</f>
        <v/>
      </c>
      <c r="C9" s="35">
        <f>Berekening!I19</f>
        <v/>
      </c>
      <c r="D9" s="36">
        <f>IF(Invoer!$B$16="Rijks",35%,IF(Invoer!$B$16="Gemeente",15%,IF(Invoer!$B$16="Provinciaal",15%,IF(Invoer!$B$16="Beschermd dorpsgezicht",5%,0%))))</f>
        <v/>
      </c>
      <c r="E9" s="37">
        <f>C9*(1+D9)</f>
        <v/>
      </c>
    </row>
    <row r="10">
      <c r="A10" t="inlineStr">
        <is>
          <t>Kamer 8</t>
        </is>
      </c>
      <c r="B10" s="34">
        <f>Berekening!J18</f>
        <v/>
      </c>
      <c r="C10" s="35">
        <f>Berekening!J19</f>
        <v/>
      </c>
      <c r="D10" s="36">
        <f>IF(Invoer!$B$16="Rijks",35%,IF(Invoer!$B$16="Gemeente",15%,IF(Invoer!$B$16="Provinciaal",15%,IF(Invoer!$B$16="Beschermd dorpsgezicht",5%,0%))))</f>
        <v/>
      </c>
      <c r="E10" s="37">
        <f>C10*(1+D10)</f>
        <v/>
      </c>
    </row>
    <row r="11">
      <c r="A11" t="inlineStr">
        <is>
          <t>Kamer 9</t>
        </is>
      </c>
      <c r="B11" s="34">
        <f>Berekening!K18</f>
        <v/>
      </c>
      <c r="C11" s="35">
        <f>Berekening!K19</f>
        <v/>
      </c>
      <c r="D11" s="36">
        <f>IF(Invoer!$B$16="Rijks",35%,IF(Invoer!$B$16="Gemeente",15%,IF(Invoer!$B$16="Provinciaal",15%,IF(Invoer!$B$16="Beschermd dorpsgezicht",5%,0%))))</f>
        <v/>
      </c>
      <c r="E11" s="37">
        <f>C11*(1+D11)</f>
        <v/>
      </c>
    </row>
    <row r="12">
      <c r="A12" t="inlineStr">
        <is>
          <t>Kamer 10</t>
        </is>
      </c>
      <c r="B12" s="34">
        <f>Berekening!L18</f>
        <v/>
      </c>
      <c r="C12" s="35">
        <f>Berekening!L19</f>
        <v/>
      </c>
      <c r="D12" s="36">
        <f>IF(Invoer!$B$16="Rijks",35%,IF(Invoer!$B$16="Gemeente",15%,IF(Invoer!$B$16="Provinciaal",15%,IF(Invoer!$B$16="Beschermd dorpsgezicht",5%,0%))))</f>
        <v/>
      </c>
      <c r="E12" s="37">
        <f>C12*(1+D12)</f>
        <v/>
      </c>
    </row>
    <row r="13">
      <c r="A13" t="inlineStr">
        <is>
          <t>Kamer 11</t>
        </is>
      </c>
      <c r="B13" s="34">
        <f>Berekening!M18</f>
        <v/>
      </c>
      <c r="C13" s="35">
        <f>Berekening!M19</f>
        <v/>
      </c>
      <c r="D13" s="36">
        <f>IF(Invoer!$B$16="Rijks",35%,IF(Invoer!$B$16="Gemeente",15%,IF(Invoer!$B$16="Provinciaal",15%,IF(Invoer!$B$16="Beschermd dorpsgezicht",5%,0%))))</f>
        <v/>
      </c>
      <c r="E13" s="37">
        <f>C13*(1+D13)</f>
        <v/>
      </c>
    </row>
    <row r="14">
      <c r="A14" t="inlineStr">
        <is>
          <t>Kamer 12</t>
        </is>
      </c>
      <c r="B14" s="34">
        <f>Berekening!N18</f>
        <v/>
      </c>
      <c r="C14" s="35">
        <f>Berekening!N19</f>
        <v/>
      </c>
      <c r="D14" s="36">
        <f>IF(Invoer!$B$16="Rijks",35%,IF(Invoer!$B$16="Gemeente",15%,IF(Invoer!$B$16="Provinciaal",15%,IF(Invoer!$B$16="Beschermd dorpsgezicht",5%,0%))))</f>
        <v/>
      </c>
      <c r="E14" s="37">
        <f>C14*(1+D14)</f>
        <v/>
      </c>
    </row>
    <row r="15">
      <c r="A15" s="5" t="inlineStr">
        <is>
          <t>Pandtotaal</t>
        </is>
      </c>
      <c r="B15" s="38">
        <f>SUM(B3:B14)</f>
        <v/>
      </c>
      <c r="C15" s="39">
        <f>SUM(C3:C14)</f>
        <v/>
      </c>
      <c r="D15" s="39">
        <f>SUM(D3:D14)</f>
        <v/>
      </c>
      <c r="E15" s="39">
        <f>SUM(E3:E14)</f>
        <v/>
      </c>
    </row>
    <row r="17">
      <c r="A17" s="40" t="inlineStr">
        <is>
          <t>Vergelijking zelfstandig: zie TODO-06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">
    <mergeCell ref="A1:F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WWSO — SCENARIO-VERGELIJKING</t>
        </is>
      </c>
    </row>
    <row r="2">
      <c r="A2" s="24" t="inlineStr">
        <is>
          <t>Kenmerk</t>
        </is>
      </c>
      <c r="B2" s="21" t="inlineStr">
        <is>
          <t>Scenario 1</t>
        </is>
      </c>
      <c r="C2" s="21" t="inlineStr">
        <is>
          <t>Scenario 2</t>
        </is>
      </c>
      <c r="D2" s="21" t="inlineStr">
        <is>
          <t>Scenario 3</t>
        </is>
      </c>
      <c r="E2" s="21" t="inlineStr">
        <is>
          <t>Scenario 4</t>
        </is>
      </c>
    </row>
    <row r="3">
      <c r="A3" s="5" t="inlineStr">
        <is>
          <t>Naam scenario</t>
        </is>
      </c>
      <c r="B3" s="4" t="n"/>
      <c r="C3" s="4" t="n"/>
      <c r="D3" s="4" t="n"/>
      <c r="E3" s="4" t="n"/>
    </row>
    <row r="4">
      <c r="A4" s="5" t="inlineStr">
        <is>
          <t>Energielabel</t>
        </is>
      </c>
      <c r="B4" s="4" t="n"/>
      <c r="C4" s="4" t="n"/>
      <c r="D4" s="4" t="n"/>
      <c r="E4" s="4" t="n"/>
    </row>
    <row r="5">
      <c r="A5" s="5" t="inlineStr">
        <is>
          <t>Aantal kamers</t>
        </is>
      </c>
      <c r="B5" s="4" t="n"/>
      <c r="C5" s="4" t="n"/>
      <c r="D5" s="4" t="n"/>
      <c r="E5" s="4" t="n"/>
    </row>
    <row r="6">
      <c r="A6" s="5" t="inlineStr">
        <is>
          <t>Punten per kamer (gem.)</t>
        </is>
      </c>
      <c r="B6" s="4" t="n"/>
      <c r="C6" s="4" t="n"/>
      <c r="D6" s="4" t="n"/>
      <c r="E6" s="4" t="n"/>
    </row>
    <row r="7">
      <c r="A7" s="5" t="inlineStr">
        <is>
          <t>Totaal huur (€/mnd)</t>
        </is>
      </c>
      <c r="B7" s="35">
        <f>IFERROR(INDEX(tbl_huur_onz_bd,MATCH(ROUND(B6,0),tbl_huur_onz_pt,0))*B5,"")</f>
        <v/>
      </c>
      <c r="C7" s="35">
        <f>IFERROR(INDEX(tbl_huur_onz_bd,MATCH(ROUND(C6,0),tbl_huur_onz_pt,0))*C5,"")</f>
        <v/>
      </c>
      <c r="D7" s="35">
        <f>IFERROR(INDEX(tbl_huur_onz_bd,MATCH(ROUND(D6,0),tbl_huur_onz_pt,0))*D5,"")</f>
        <v/>
      </c>
      <c r="E7" s="35">
        <f>IFERROR(INDEX(tbl_huur_onz_bd,MATCH(ROUND(E6,0),tbl_huur_onz_pt,0))*E5,"")</f>
        <v/>
      </c>
    </row>
    <row r="8">
      <c r="A8" s="5" t="inlineStr">
        <is>
          <t>Investering (€)</t>
        </is>
      </c>
      <c r="B8" s="4" t="n"/>
      <c r="C8" s="4" t="n"/>
      <c r="D8" s="4" t="n"/>
      <c r="E8" s="4" t="n"/>
    </row>
    <row r="9">
      <c r="A9" s="5" t="inlineStr">
        <is>
          <t>Extra jaarhuur vs huidig (€)</t>
        </is>
      </c>
      <c r="B9" s="4" t="n"/>
      <c r="C9" s="4" t="n"/>
      <c r="D9" s="4" t="n"/>
      <c r="E9" s="4" t="n"/>
    </row>
    <row r="10">
      <c r="A10" s="5" t="inlineStr">
        <is>
          <t>Rendement %</t>
        </is>
      </c>
      <c r="B10" s="41">
        <f>IFERROR(B9/B8,"")</f>
        <v/>
      </c>
      <c r="C10" s="41">
        <f>IFERROR(C9/C8,"")</f>
        <v/>
      </c>
      <c r="D10" s="41">
        <f>IFERROR(D9/D8,"")</f>
        <v/>
      </c>
      <c r="E10" s="41">
        <f>IFERROR(E9/E8,"")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5" customWidth="1" min="3" max="3"/>
  </cols>
  <sheetData>
    <row r="1" ht="28" customHeight="1">
      <c r="A1" s="1" t="inlineStr">
        <is>
          <t>WWSO — CONTROLES</t>
        </is>
      </c>
    </row>
    <row r="2">
      <c r="A2" s="21" t="inlineStr">
        <is>
          <t>Check</t>
        </is>
      </c>
      <c r="B2" s="21" t="inlineStr">
        <is>
          <t>Resultaat</t>
        </is>
      </c>
      <c r="C2" s="21" t="inlineStr">
        <is>
          <t>Status</t>
        </is>
      </c>
    </row>
    <row r="3">
      <c r="A3" t="inlineStr">
        <is>
          <t>1. Totaal m² ruimten (excl. Verkeersruimte) vs WOZ-oppervlak (&gt;20% = WAARSCHUWING)</t>
        </is>
      </c>
      <c r="B3" s="13">
        <f>SUMPRODUCT((Invoer!$C$18:$C$57&lt;&gt;"Verkeersruimte")*(Invoer!$D$18:$D$57))</f>
        <v/>
      </c>
      <c r="C3" s="16">
        <f>IF(Invoer!$B$8=0,"",IF(ABS(B3-Invoer!$B$8)/Invoer!$B$8&gt;0.2,"⚠ WAARSCHUWING","✓ OK"))</f>
        <v/>
      </c>
    </row>
    <row r="4">
      <c r="A4" t="inlineStr">
        <is>
          <t>2. Alle ingevulde ruimten hebben een type</t>
        </is>
      </c>
      <c r="B4" s="13">
        <f>SUMPRODUCT((Invoer!$B$18:$B$57&lt;&gt;"")*(Invoer!$C$18:$C$57=""))</f>
        <v/>
      </c>
      <c r="C4" s="16">
        <f>IF(B4=0,"✓ OK","⚠ "&amp;B4&amp;" ruimten zonder type")</f>
        <v/>
      </c>
    </row>
    <row r="5">
      <c r="A5" t="inlineStr">
        <is>
          <t>3. Alle ingevulde ruimten zijn aan ≥1 kamer toegerekend</t>
        </is>
      </c>
      <c r="B5" s="13">
        <f>SUMPRODUCT((Invoer!$B$18:$B$57&lt;&gt;"")*(Invoer!$T$18:$T$57=0))</f>
        <v/>
      </c>
      <c r="C5" s="16">
        <f>IF(B5=0,"✓ OK","⚠ "&amp;B5&amp;" ruimten niet toegerekend")</f>
        <v/>
      </c>
    </row>
    <row r="6">
      <c r="A6" t="inlineStr">
        <is>
          <t>4. Elk kamernummer 1 t/m n_kamers heeft ≥1 Privévertrek</t>
        </is>
      </c>
      <c r="B6" s="13">
        <f>SUMPRODUCT((ROW(Invoer!$H$18:$S$18)-ROW(Invoer!$H$18)+1&lt;=Invoer!$B$14)*(MMULT(TRANSPOSE((Invoer!$C$18:$C$57="Privévertrek")*1),IF(Invoer!$H$18:$S$57="J",1,0))=0))</f>
        <v/>
      </c>
      <c r="C6" s="16">
        <f>IF(B6=0,"✓ OK","⚠ "&amp;B6&amp;" kamers zonder Privévertrek")</f>
        <v/>
      </c>
    </row>
    <row r="7">
      <c r="A7" t="inlineStr">
        <is>
          <t>5. n_kamers in Berekening vs Invoer!B14</t>
        </is>
      </c>
      <c r="B7" s="13">
        <f>Invoer!$B$14</f>
        <v/>
      </c>
      <c r="C7" s="16">
        <f>IF(B7=COUNTA(Berekening!C18:N18)-COUNTIF(Berekening!C18:N18,0),"✓ OK","Controleer")</f>
        <v/>
      </c>
    </row>
    <row r="8">
      <c r="A8" t="inlineStr">
        <is>
          <t>6. Aanrechtlengte keuken 1 ingevuld</t>
        </is>
      </c>
      <c r="B8" s="13">
        <f>Voorzieningen!$B$5</f>
        <v/>
      </c>
      <c r="C8" s="16">
        <f>IF(Voorzieningen!$B$4="","(geen keuken 1)","✓ ingevuld")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 ht="28" customHeight="1">
      <c r="A1" s="1" t="inlineStr">
        <is>
          <t>WWSO — TOELICHTING &amp; OPEN PUNTEN</t>
        </is>
      </c>
    </row>
    <row r="3">
      <c r="A3" s="42" t="inlineStr">
        <is>
          <t>R1 — Oppervlakte vertrekken (§2.2.1)</t>
        </is>
      </c>
      <c r="B3" s="43" t="inlineStr">
        <is>
          <t>1 punt per m² privévertrek; gedeelde vertrekken (keuken, badruimte) gedeeld door n_kamers met toegang.</t>
        </is>
      </c>
    </row>
    <row r="4">
      <c r="A4" s="42" t="inlineStr">
        <is>
          <t>R2 — Overige ruimten (§2.2.2)</t>
        </is>
      </c>
      <c r="B4" s="43" t="inlineStr">
        <is>
          <t>0.75 punt per m² overige ruimten (berging, bijkeuken, wasruimte, overige ruimte, toiletruimte). Kwartpuntsafronding.</t>
        </is>
      </c>
    </row>
    <row r="5">
      <c r="A5" s="42" t="inlineStr">
        <is>
          <t>R3 — Verwarming (§2.3)</t>
        </is>
      </c>
      <c r="B5" s="43" t="inlineStr">
        <is>
          <t>2 pt per privé/keuken/bad ruimte verwarmd; 1 pt (max 4) voor overige verwarmd; 1 pt (max 2) voor verkoeld (zowel verwarmd als verkoeld).</t>
        </is>
      </c>
    </row>
    <row r="6">
      <c r="A6" s="42" t="inlineStr">
        <is>
          <t>R4 — Energieprestatie (§2.4)</t>
        </is>
      </c>
      <c r="B6" s="43" t="inlineStr">
        <is>
          <t>Factor op m² (R1 grondbasis). Lookup op energielabel; fallback op bouwjaar.</t>
        </is>
      </c>
    </row>
    <row r="7">
      <c r="A7" s="42" t="inlineStr">
        <is>
          <t>R5 — Keukenvoorzieningen (§2.5)</t>
        </is>
      </c>
      <c r="B7" s="43" t="inlineStr">
        <is>
          <t>Basispunten op aanrechtlengte + extra voorzieningen (gecapped op basispunten). Gedeeld per toegangskamers.</t>
        </is>
      </c>
    </row>
    <row r="8">
      <c r="A8" s="42" t="inlineStr">
        <is>
          <t>R6 — Sanitaire voorzieningen (§2.6)</t>
        </is>
      </c>
      <c r="B8" s="43" t="inlineStr">
        <is>
          <t>Toilet + wastafels + douche/bad + extra (gecapped op douche/bad punten). Gedeeld per toegangskamers.</t>
        </is>
      </c>
    </row>
    <row r="9">
      <c r="A9" s="42" t="inlineStr">
        <is>
          <t>R7 — Gemeenschappelijke vertrekken (§2.7)</t>
        </is>
      </c>
      <c r="B9" s="43" t="inlineStr">
        <is>
          <t>Handmatig in te voeren — niet automatisch berekend (ruimtetypen ontbreken in model).</t>
        </is>
      </c>
    </row>
    <row r="10">
      <c r="A10" s="42" t="inlineStr">
        <is>
          <t>R8 — Buitenruimten (§2.8)</t>
        </is>
      </c>
      <c r="B10" s="43" t="inlineStr">
        <is>
          <t>Privé buitenruimte: 2 + 0.35*m² per kamer; gemeenschappelijk: 0.75*m²/n_kamers/n_adressen. Max 15 per kamer.</t>
        </is>
      </c>
    </row>
    <row r="11">
      <c r="A11" s="42" t="inlineStr">
        <is>
          <t>R9 — Gemeenschappelijke parkeerruimte (§2.9)</t>
        </is>
      </c>
      <c r="B11" s="43" t="inlineStr">
        <is>
          <t>Gemeenschappelijke ruimten gedeeld door adressen en kamers. Ruimtetypen 'Gemeenschappelijk vertrek/overige ruimte'.</t>
        </is>
      </c>
    </row>
    <row r="12">
      <c r="A12" s="42" t="inlineStr">
        <is>
          <t>R10 — Parkeren (§2.10)</t>
        </is>
      </c>
      <c r="B12" s="43" t="inlineStr">
        <is>
          <t>Parkeertype punten + laadpaal, gedeeld door n_adressen × n_kamers.</t>
        </is>
      </c>
    </row>
    <row r="13">
      <c r="A13" s="42" t="inlineStr">
        <is>
          <t>R11 — WOZ-waarde (§2.11)</t>
        </is>
      </c>
      <c r="B13" s="43" t="inlineStr">
        <is>
          <t>WOZ/m² vs COROP-gemiddelde: &gt;110% → 14pt, &lt;90% → 10pt, anders → 12pt. INTERPRETATIEPUNT: elke kamer krijgt volle pandpunten (§11.4).</t>
        </is>
      </c>
    </row>
    <row r="14">
      <c r="A14" s="42" t="inlineStr">
        <is>
          <t>R12 — Bijzondere voorzieningen (§2.12)</t>
        </is>
      </c>
      <c r="B14" s="43" t="inlineStr">
        <is>
          <t>Aanbelfunctie met video: 0.25 pt per kamer. Zorgwoning: +35% op R1-R11 (TODO-07, handmatig).</t>
        </is>
      </c>
    </row>
    <row r="15">
      <c r="A15" s="42" t="inlineStr">
        <is>
          <t>R13 — Aftrekpunten (§2.13)</t>
        </is>
      </c>
      <c r="B15" s="43" t="inlineStr">
        <is>
          <t>-4 pt per J per criterium per kamer (privévertrek &lt;8m², bereikbaar via verhuurder, ruitoppervlak &lt;0.75m², laagste raam &gt;1.60m).</t>
        </is>
      </c>
    </row>
    <row r="17">
      <c r="A17" s="44" t="inlineStr">
        <is>
          <t>Open punten (TODO-lijst)</t>
        </is>
      </c>
    </row>
    <row r="19">
      <c r="A19" s="5" t="inlineStr">
        <is>
          <t>TODO-01: Ruimte-eisen (§2.2.1.2)</t>
        </is>
      </c>
      <c r="B19" s="43" t="inlineStr">
        <is>
          <t>Waarschuwing als ruimte niet voldoet aan vertrek-eisen (min 4m², breedte, hoogte, raam). Momenteel geen invoervelden hiervoor.</t>
        </is>
      </c>
    </row>
    <row r="20">
      <c r="A20" s="5" t="inlineStr">
        <is>
          <t>TODO-02: Aangrenzende ruimten (§2.2.1.4)</t>
        </is>
      </c>
      <c r="B20" s="43" t="inlineStr">
        <is>
          <t>Automatisch samenvoegen van ruimten met open doorgang &gt;50% muur. Momenteel handmatig als één ruimte invullen.</t>
        </is>
      </c>
    </row>
    <row r="21">
      <c r="A21" s="5" t="inlineStr">
        <is>
          <t>TODO-03: Zolderruimte (§2.2.1.3)</t>
        </is>
      </c>
      <c r="B21" s="43" t="inlineStr">
        <is>
          <t>Extra validatie: bereikbaar via vaste trap + beschoten dak. Momenteel niet apart gemarkeerd.</t>
        </is>
      </c>
    </row>
    <row r="22">
      <c r="A22" s="5" t="inlineStr">
        <is>
          <t>TODO-04: Gemeenschappelijke vertrekken R7</t>
        </is>
      </c>
      <c r="B22" s="43" t="inlineStr">
        <is>
          <t>Ruimtetypen voor gemeenschappelijke vertrekken toevoegen zodat R7 automatisch berekent.</t>
        </is>
      </c>
    </row>
    <row r="23">
      <c r="A23" s="5" t="inlineStr">
        <is>
          <t>TODO-05: Maximale extra punten keuken</t>
        </is>
      </c>
      <c r="B23" s="43" t="inlineStr">
        <is>
          <t>Capping keuken-extra op basis_pts werkt per keuken; controleer of pandniveaucapping vereist is.</t>
        </is>
      </c>
    </row>
    <row r="24">
      <c r="A24" s="5" t="inlineStr">
        <is>
          <t>TODO-06: Vergelijking zelfstandig (Resultaat)</t>
        </is>
      </c>
      <c r="B24" s="43" t="inlineStr">
        <is>
          <t>Berekeningslogica voor zelfstandige huurprijs nog toe te voegen op Resultaat-tab.</t>
        </is>
      </c>
    </row>
    <row r="25">
      <c r="A25" s="5" t="inlineStr">
        <is>
          <t>TODO-07: Zorgwoning +35%</t>
        </is>
      </c>
      <c r="B25" s="43" t="inlineStr">
        <is>
          <t>Zorgwoning-opslag (35% op R1-R11) nog niet geautomatiseerd. Handmatig aanpassen of aparte kolom toevoegen.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2026-08-01T07:28:34Z</dcterms:created>
  <dcterms:modified xmlns:dcterms="http://purl.org/dc/terms/" xmlns:xsi="http://www.w3.org/2001/XMLSchema-instance" xsi:type="dcterms:W3CDTF">2026-08-01T07:28:34Z</dcterms:modified>
</cp:coreProperties>
</file>