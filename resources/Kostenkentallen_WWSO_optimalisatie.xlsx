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oelichting" sheetId="1" state="visible" r:id="rId1"/>
    <sheet xmlns:r="http://schemas.openxmlformats.org/officeDocument/2006/relationships" name="Aannames" sheetId="2" state="visible" r:id="rId2"/>
    <sheet xmlns:r="http://schemas.openxmlformats.org/officeDocument/2006/relationships" name="Maatregelen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\€#,##0;&quot;(€&quot;#,##0\);\-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0" workbookViewId="0">
      <selection activeCell="A1" sqref="A1"/>
    </sheetView>
  </sheetViews>
  <sheetFormatPr baseColWidth="8" defaultRowHeight="15"/>
  <cols>
    <col width="110" customWidth="1" style="1" min="1" max="1"/>
  </cols>
  <sheetData>
    <row r="1" ht="15" customHeight="1" s="1">
      <c r="A1" t="inlineStr">
        <is>
          <t>Kostenkentallen WWSO-optimalisatie — maatregelencatalogus</t>
        </is>
      </c>
    </row>
    <row r="2" ht="15" customHeight="1" s="1">
      <c r="A2" t="inlineStr">
        <is>
          <t>Versie 0.1 — 19 augustus 2026 — startversie met schattingen, bedoeld om door te ontwikkelen</t>
        </is>
      </c>
    </row>
    <row r="4" ht="15" customHeight="1" s="1">
      <c r="A4" t="inlineStr">
        <is>
          <t>Waarvoor is dit bestand</t>
        </is>
      </c>
    </row>
    <row r="5" ht="15" customHeight="1" s="1">
      <c r="A5" t="inlineStr">
        <is>
          <t>Deze catalogus voedt de suggestie-engine van de WWSO-scenariotool. Per maatregel staat wat het kost</t>
        </is>
      </c>
    </row>
    <row r="6" ht="15" customHeight="1" s="1">
      <c r="A6" t="inlineStr">
        <is>
          <t>en welk effect het heeft op de puntentelling. De engine combineert maatregelen tot pakketten en</t>
        </is>
      </c>
    </row>
    <row r="7" ht="15" customHeight="1" s="1">
      <c r="A7" t="inlineStr">
        <is>
          <t>rangschikt die op terugverdientijd (investering ÷ extra jaarhuur).</t>
        </is>
      </c>
    </row>
    <row r="9" ht="15" customHeight="1" s="1">
      <c r="A9" t="inlineStr">
        <is>
          <t>Belangrijk: alle bedragen in kolom F t/m H zijn SCHATTINGEN van Claude</t>
        </is>
      </c>
    </row>
    <row r="10" ht="15" customHeight="1" s="1">
      <c r="A10" t="inlineStr">
        <is>
          <t>Het zijn indicatieve Nederlandse marktprijzen 2026, inclusief btw en inclusief arbeid, bedoeld als</t>
        </is>
      </c>
    </row>
    <row r="11" ht="15" customHeight="1" s="1">
      <c r="A11" t="inlineStr">
        <is>
          <t>startwaarde. Ze zijn NIET gebaseerd op offertes of op jullie eigen realisaties. Vervang ze zodra je</t>
        </is>
      </c>
    </row>
    <row r="12" ht="15" customHeight="1" s="1">
      <c r="A12" t="inlineStr">
        <is>
          <t>echte cijfers hebt en zet kolom O op 'bevestigd'. Zolang een regel op 'schatting' staat toont de app</t>
        </is>
      </c>
    </row>
    <row r="13" ht="15" customHeight="1" s="1">
      <c r="A13" t="inlineStr">
        <is>
          <t>de uitkomst als bandbreedte, niet als bedrag.</t>
        </is>
      </c>
    </row>
    <row r="15" ht="15" customHeight="1" s="1">
      <c r="A15" t="inlineStr">
        <is>
          <t>Wat jullie invullen / bijwerken</t>
        </is>
      </c>
    </row>
    <row r="16" ht="15" customHeight="1" s="1">
      <c r="A16" t="inlineStr">
        <is>
          <t>Geel gemarkeerde kolommen op de tab Maatregelen zijn van jullie:</t>
        </is>
      </c>
    </row>
    <row r="17" ht="15" customHeight="1" s="1">
      <c r="A17" t="inlineStr">
        <is>
          <t xml:space="preserve">   F  Kosten min (€)              — laagste realistische prijs</t>
        </is>
      </c>
    </row>
    <row r="18" ht="15" customHeight="1" s="1">
      <c r="A18" t="inlineStr">
        <is>
          <t xml:space="preserve">   G  Kosten verwacht (€)         — waarmee de engine rekent</t>
        </is>
      </c>
    </row>
    <row r="19" ht="15" customHeight="1" s="1">
      <c r="A19" t="inlineStr">
        <is>
          <t xml:space="preserve">   H  Kosten max (€)              — hoogste realistische prijs</t>
        </is>
      </c>
    </row>
    <row r="20" ht="15" customHeight="1" s="1">
      <c r="A20" t="inlineStr">
        <is>
          <t xml:space="preserve">   N  Bron                        — offerte, factuur, aannemer, eigen realisatie</t>
        </is>
      </c>
    </row>
    <row r="21" ht="15" customHeight="1" s="1">
      <c r="A21" t="inlineStr">
        <is>
          <t xml:space="preserve">   O  Status                      — schatting / offerte / bevestigd</t>
        </is>
      </c>
    </row>
    <row r="22" ht="15" customHeight="1" s="1">
      <c r="A22" t="inlineStr">
        <is>
          <t xml:space="preserve">   P  Laatst bijgewerkt           — datum</t>
        </is>
      </c>
    </row>
    <row r="23" ht="15" customHeight="1" s="1">
      <c r="A23" t="inlineStr">
        <is>
          <t>Kolom I rekent zichzelf uit (verwacht × regio-index) — niet overschrijven.</t>
        </is>
      </c>
    </row>
    <row r="24" ht="15" customHeight="1" s="1">
      <c r="A24" t="inlineStr">
        <is>
          <t>Nieuwe maatregel? Regel eronder toevoegen, id doorlopend nummeren binnen de rubriek.</t>
        </is>
      </c>
    </row>
    <row r="26" ht="15" customHeight="1" s="1">
      <c r="A26" t="inlineStr">
        <is>
          <t>Kleurcodering</t>
        </is>
      </c>
    </row>
    <row r="27" ht="15" customHeight="1" s="1">
      <c r="A27" t="inlineStr">
        <is>
          <t>Blauw = handmatig ingevulde waarde   ·   Zwart = formule   ·   Groen = verwijzing naar andere tab</t>
        </is>
      </c>
    </row>
    <row r="29" ht="15" customHeight="1" s="1">
      <c r="A29" t="inlineStr">
        <is>
          <t>Rubrieken (verwijzen naar het beleidsboek WWSO, tab Berekening van wwso.xlsx)</t>
        </is>
      </c>
    </row>
    <row r="30" ht="15" customHeight="1" s="1">
      <c r="A30" t="inlineStr">
        <is>
          <t>R1/R2 oppervlakte · R3 verwarming · R4 energieprestatie · R5 keuken · R6 sanitair · R8 buitenruimte</t>
        </is>
      </c>
    </row>
    <row r="31" ht="15" customHeight="1" s="1">
      <c r="A31" t="inlineStr">
        <is>
          <t>R10 parkeren · R12 bijzondere voorzieningen · R13 aftrekpunten · PROC = proces- en bijkomende kosten</t>
        </is>
      </c>
    </row>
    <row r="33" ht="15" customHeight="1" s="1">
      <c r="A33" t="inlineStr">
        <is>
          <t>Let op bij het gebruik van de puntenindicatie (kolom K)</t>
        </is>
      </c>
    </row>
    <row r="34" ht="15" customHeight="1" s="1">
      <c r="A34" t="inlineStr">
        <is>
          <t>De puntenwinst in kolom K is een vuistregel voor sortering, geen berekening. De echte puntenwinst</t>
        </is>
      </c>
    </row>
    <row r="35" ht="15" customHeight="1" s="1">
      <c r="A35" t="inlineStr">
        <is>
          <t>volgt altijd uit het doorrekenen van het scenario in de engine — gedeelde voorzieningen worden immers</t>
        </is>
      </c>
    </row>
    <row r="36" ht="15" customHeight="1" s="1">
      <c r="A36" t="inlineStr">
        <is>
          <t>gedeeld door het aantal kamers met toegang, dus dezelfde maatregel levert per pand iets anders op.</t>
        </is>
      </c>
    </row>
  </sheetData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0" workbookViewId="0">
      <selection activeCell="A1" sqref="A1"/>
    </sheetView>
  </sheetViews>
  <sheetFormatPr baseColWidth="8" defaultRowHeight="15"/>
  <cols>
    <col width="32" customWidth="1" style="1" min="1" max="1"/>
    <col width="12" customWidth="1" style="1" min="2" max="2"/>
    <col width="10" customWidth="1" style="1" min="3" max="3"/>
    <col width="95" customWidth="1" style="1" min="4" max="4"/>
  </cols>
  <sheetData>
    <row r="1" ht="15" customHeight="1" s="1">
      <c r="A1" t="inlineStr">
        <is>
          <t>Aannames en kengetallen</t>
        </is>
      </c>
    </row>
    <row r="3" ht="15" customHeight="1" s="1">
      <c r="A3" t="inlineStr">
        <is>
          <t>Parameter</t>
        </is>
      </c>
      <c r="B3" t="inlineStr">
        <is>
          <t>Waarde</t>
        </is>
      </c>
      <c r="C3" t="inlineStr">
        <is>
          <t>Eenheid</t>
        </is>
      </c>
      <c r="D3" t="inlineStr">
        <is>
          <t>Toelichting</t>
        </is>
      </c>
    </row>
    <row r="4" ht="15" customHeight="1" s="1">
      <c r="A4" t="inlineStr">
        <is>
          <t>Regio-index</t>
        </is>
      </c>
      <c r="B4" s="6" t="n">
        <v>1</v>
      </c>
      <c r="C4" t="inlineStr">
        <is>
          <t>factor</t>
        </is>
      </c>
      <c r="D4" t="inlineStr">
        <is>
          <t>1,00 = landelijk gemiddelde. Randstad/Rotterdam ligt in de praktijk 1,00-1,10. Kolom I van Maatregelen rekent hiermee.</t>
        </is>
      </c>
    </row>
    <row r="5" ht="15" customHeight="1" s="1">
      <c r="A5" t="inlineStr">
        <is>
          <t>Btw-tarief bouw (regulier)</t>
        </is>
      </c>
      <c r="B5" s="7" t="n">
        <v>0.21</v>
      </c>
      <c r="C5" t="inlineStr">
        <is>
          <t>%</t>
        </is>
      </c>
      <c r="D5" t="inlineStr">
        <is>
          <t>Alle bedragen in deze catalogus zijn INCLUSIEF btw.</t>
        </is>
      </c>
    </row>
    <row r="6" ht="15" customHeight="1" s="1">
      <c r="A6" t="inlineStr">
        <is>
          <t>Btw-tarief renovatie arbeid</t>
        </is>
      </c>
      <c r="B6" s="7" t="n">
        <v>0.09</v>
      </c>
      <c r="C6" t="inlineStr">
        <is>
          <t>%</t>
        </is>
      </c>
      <c r="D6" t="inlineStr">
        <is>
          <t>Verlaagd tarief voor arbeid bij woningen ouder dan 2 jaar; door aannemers wisselend toegepast. Controleer per offerte.</t>
        </is>
      </c>
    </row>
    <row r="7" ht="15" customHeight="1" s="1">
      <c r="A7" t="inlineStr">
        <is>
          <t>Prijspeil</t>
        </is>
      </c>
      <c r="B7" s="8" t="n">
        <v>2026</v>
      </c>
      <c r="C7" t="inlineStr">
        <is>
          <t>jaar</t>
        </is>
      </c>
      <c r="D7" t="inlineStr">
        <is>
          <t>Startversie augustus 2026. Werk de bedragen jaarlijks bij of indexeer met onderstaande factor.</t>
        </is>
      </c>
    </row>
    <row r="8" ht="15" customHeight="1" s="1">
      <c r="A8" t="inlineStr">
        <is>
          <t>Indexatie bouwkosten p/j</t>
        </is>
      </c>
      <c r="B8" s="7" t="n">
        <v>0.03</v>
      </c>
      <c r="C8" t="inlineStr">
        <is>
          <t>%</t>
        </is>
      </c>
      <c r="D8" t="inlineStr">
        <is>
          <t>Vuistregel voor het bijwerken van niet-bevestigde regels.</t>
        </is>
      </c>
    </row>
    <row r="9" ht="15" customHeight="1" s="1">
      <c r="A9" t="inlineStr">
        <is>
          <t>Standaard plafondhoogte</t>
        </is>
      </c>
      <c r="B9" s="6" t="n">
        <v>2.6</v>
      </c>
      <c r="C9" t="inlineStr">
        <is>
          <t>m</t>
        </is>
      </c>
      <c r="D9" t="inlineStr">
        <is>
          <t>Gebruikt om wandprijzen per m¹ af te leiden uit prijzen per m².</t>
        </is>
      </c>
    </row>
    <row r="10" ht="15" customHeight="1" s="1">
      <c r="A10" t="inlineStr">
        <is>
          <t>Huurderving per kamer p/mnd</t>
        </is>
      </c>
      <c r="B10" s="9" t="n">
        <v>550</v>
      </c>
      <c r="C10" t="inlineStr">
        <is>
          <t>€</t>
        </is>
      </c>
      <c r="D10" t="inlineStr">
        <is>
          <t>Gemiste huur tijdens verbouwing. Meenemen in de investeringskant van een scenario.</t>
        </is>
      </c>
    </row>
    <row r="13" ht="15" customHeight="1" s="1">
      <c r="A13" t="inlineStr">
        <is>
          <t>Bron van de startwaarden: inschatting Claude op basis van Nederlandse marktprijzen 2026. Geen offertes. Vervangen door eigen cijfers.</t>
        </is>
      </c>
    </row>
  </sheetData>
  <pageMargins left="0.75" right="0.75" top="1" bottom="1" header="0.511811023622047" footer="0.51181102362204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rightToLeft="0" workbookViewId="0">
      <selection activeCell="A1" sqref="A1"/>
    </sheetView>
  </sheetViews>
  <sheetFormatPr baseColWidth="8" defaultRowHeight="15"/>
  <cols>
    <col width="8" customWidth="1" style="1" min="1" max="1"/>
    <col width="9" customWidth="1" style="1" min="2" max="2"/>
    <col width="20" customWidth="1" style="1" min="3" max="3"/>
    <col width="52" customWidth="1" style="1" min="4" max="4"/>
    <col width="22" customWidth="1" style="1" min="5" max="5"/>
    <col width="14" customWidth="1" style="1" min="6" max="6"/>
    <col width="17" customWidth="1" style="1" min="7" max="7"/>
    <col width="14" customWidth="1" style="1" min="8" max="8"/>
    <col width="17" customWidth="1" style="1" min="9" max="9"/>
    <col width="62" customWidth="1" style="1" min="10" max="10"/>
    <col width="30" customWidth="1" style="1" min="11" max="11"/>
    <col width="26" customWidth="1" style="1" min="12" max="12"/>
    <col width="14" customWidth="1" style="1" min="13" max="13"/>
    <col width="30" customWidth="1" style="1" min="14" max="14"/>
    <col width="12" customWidth="1" style="1" min="15" max="15"/>
    <col width="16" customWidth="1" style="1" min="16" max="16"/>
  </cols>
  <sheetData>
    <row r="1" ht="15" customHeight="1" s="1">
      <c r="A1" t="inlineStr">
        <is>
          <t>Maatregelencatalogus — kosten en puntenimpact</t>
        </is>
      </c>
    </row>
    <row r="2" ht="15" customHeight="1" s="1">
      <c r="A2" t="inlineStr">
        <is>
          <t>Geel = door jullie in te vullen. Kolom I is een formule. Kolom K is een vuistregel, geen berekening.</t>
        </is>
      </c>
    </row>
    <row r="4" ht="30" customHeight="1" s="1">
      <c r="A4" t="inlineStr">
        <is>
          <t>id</t>
        </is>
      </c>
      <c r="B4" t="inlineStr">
        <is>
          <t>Rubriek</t>
        </is>
      </c>
      <c r="C4" t="inlineStr">
        <is>
          <t>Categorie</t>
        </is>
      </c>
      <c r="D4" t="inlineStr">
        <is>
          <t>Maatregel</t>
        </is>
      </c>
      <c r="E4" t="inlineStr">
        <is>
          <t>Eenheid</t>
        </is>
      </c>
      <c r="F4" t="inlineStr">
        <is>
          <t>Kosten min (€)</t>
        </is>
      </c>
      <c r="G4" t="inlineStr">
        <is>
          <t>Kosten verwacht (€)</t>
        </is>
      </c>
      <c r="H4" t="inlineStr">
        <is>
          <t>Kosten max (€)</t>
        </is>
      </c>
      <c r="I4" t="inlineStr">
        <is>
          <t>Verwacht × regio (€)</t>
        </is>
      </c>
      <c r="J4" t="inlineStr">
        <is>
          <t>Effect op puntentelling</t>
        </is>
      </c>
      <c r="K4" t="inlineStr">
        <is>
          <t>Punten-indicatie</t>
        </is>
      </c>
      <c r="L4" t="inlineStr">
        <is>
          <t>Vergunning / melding</t>
        </is>
      </c>
      <c r="M4" t="inlineStr">
        <is>
          <t>Doorlooptijd</t>
        </is>
      </c>
      <c r="N4" t="inlineStr">
        <is>
          <t>Bron</t>
        </is>
      </c>
      <c r="O4" t="inlineStr">
        <is>
          <t>Status</t>
        </is>
      </c>
      <c r="P4" t="inlineStr">
        <is>
          <t>Laatst bijgewerkt</t>
        </is>
      </c>
    </row>
    <row r="5" ht="35.05" customHeight="1" s="1">
      <c r="A5" t="inlineStr">
        <is>
          <t>K-01</t>
        </is>
      </c>
      <c r="B5" t="inlineStr">
        <is>
          <t>R5</t>
        </is>
      </c>
      <c r="C5" t="inlineStr">
        <is>
          <t>Keuken</t>
        </is>
      </c>
      <c r="D5" t="inlineStr">
        <is>
          <t>Kitchenette/keukenblok 122 cm per kamer (spoelbak+kraan, inductieplaat, afzuigkap, 2x boven-/onderkast, 2x stopcontact) incl. plaatsing</t>
        </is>
      </c>
      <c r="E5" t="inlineStr">
        <is>
          <t>per kamer</t>
        </is>
      </c>
      <c r="F5" s="9" t="n">
        <v>2485</v>
      </c>
      <c r="G5" s="9" t="n">
        <v>2485</v>
      </c>
      <c r="H5" s="9" t="n">
        <v>2485</v>
      </c>
      <c r="I5" s="9">
        <f>G5*Aannames!$B$4</f>
        <v/>
      </c>
      <c r="J5" t="inlineStr">
        <is>
          <t>Verschuift keukenpunten van gedeeld naar privé: de kamer deelt de keukenpunten niet meer door het aantal kamers met toegang. Aanrechtlengte 122 cm.</t>
        </is>
      </c>
      <c r="K5" t="inlineStr">
        <is>
          <t>8 pt (aanrecht 122 cm)</t>
        </is>
      </c>
      <c r="L5" t="inlineStr">
        <is>
          <t>Nee (wel bouwbesluit/ventilatie)</t>
        </is>
      </c>
      <c r="M5" t="inlineStr">
        <is>
          <t>1-2 weken</t>
        </is>
      </c>
      <c r="N5" t="inlineStr">
        <is>
          <t>Offerte leverancier, keukenblok 122cm/8pt (resources/Kosten per keukenblok.xlsx), 2026-08-26</t>
        </is>
      </c>
      <c r="O5" t="inlineStr">
        <is>
          <t>offerte</t>
        </is>
      </c>
      <c r="P5" t="inlineStr">
        <is>
          <t>2026-08-26</t>
        </is>
      </c>
    </row>
    <row r="6" ht="23.85" customHeight="1" s="1">
      <c r="A6" t="inlineStr">
        <is>
          <t>K-02</t>
        </is>
      </c>
      <c r="B6" t="inlineStr">
        <is>
          <t>R5</t>
        </is>
      </c>
      <c r="C6" t="inlineStr">
        <is>
          <t>Keuken</t>
        </is>
      </c>
      <c r="D6" t="inlineStr">
        <is>
          <t>Water- en afvoeraansluiting + elektragroep naar kamer trekken (t.b.v. kitchenette)</t>
        </is>
      </c>
      <c r="E6" t="inlineStr">
        <is>
          <t>per kamer</t>
        </is>
      </c>
      <c r="F6" s="9" t="n">
        <v>1761.5</v>
      </c>
      <c r="G6" s="9" t="n">
        <v>1761.5</v>
      </c>
      <c r="H6" s="9" t="n">
        <v>1761.5</v>
      </c>
      <c r="I6" s="9">
        <f>G6*Aannames!$B$4</f>
        <v/>
      </c>
      <c r="J6" t="inlineStr">
        <is>
          <t>Randvoorwaarde voor K-01, geen zelfstandige puntenwinst.</t>
        </is>
      </c>
      <c r="K6" t="inlineStr">
        <is>
          <t>0 (enabler)</t>
        </is>
      </c>
      <c r="L6" t="inlineStr">
        <is>
          <t>Nee</t>
        </is>
      </c>
      <c r="M6" t="inlineStr">
        <is>
          <t>1 week</t>
        </is>
      </c>
      <c r="N6" t="inlineStr">
        <is>
          <t>Offerte leverancier, keukenblok 122/240cm (resources/Kosten per keukenblok.xlsx), 2026-08-26</t>
        </is>
      </c>
      <c r="O6" t="inlineStr">
        <is>
          <t>offerte</t>
        </is>
      </c>
      <c r="P6" t="inlineStr">
        <is>
          <t>2026-08-26</t>
        </is>
      </c>
    </row>
    <row r="7" ht="23.85" customHeight="1" s="1">
      <c r="A7" t="inlineStr">
        <is>
          <t>K-03</t>
        </is>
      </c>
      <c r="B7" t="inlineStr">
        <is>
          <t>R5</t>
        </is>
      </c>
      <c r="C7" t="inlineStr">
        <is>
          <t>Keuken</t>
        </is>
      </c>
      <c r="D7" t="inlineStr">
        <is>
          <t>Aanrechtblad verlengen naar &gt;1 m of &gt;2 m (drempelwaarde basispunten)</t>
        </is>
      </c>
      <c r="E7" t="inlineStr">
        <is>
          <t>per keuken</t>
        </is>
      </c>
      <c r="F7" s="9" t="n">
        <v>400</v>
      </c>
      <c r="G7" s="9" t="n">
        <v>750</v>
      </c>
      <c r="H7" s="9" t="n">
        <v>1400</v>
      </c>
      <c r="I7" s="9">
        <f>G7*Aannames!$B$4</f>
        <v/>
      </c>
      <c r="J7" t="inlineStr">
        <is>
          <t>Basispunten keuken lopen op met de aanrechtlengte; net over een drempel komen kan meerdere punten schelen.</t>
        </is>
      </c>
      <c r="K7" t="inlineStr">
        <is>
          <t>Drempelafhankelijk</t>
        </is>
      </c>
      <c r="L7" t="inlineStr">
        <is>
          <t>Nee</t>
        </is>
      </c>
      <c r="M7" t="inlineStr">
        <is>
          <t>2-4 dagen</t>
        </is>
      </c>
      <c r="N7" t="inlineStr">
        <is>
          <t>Schatting Claude, NL marktprijzen 2026</t>
        </is>
      </c>
      <c r="O7" t="inlineStr">
        <is>
          <t>schatting</t>
        </is>
      </c>
      <c r="P7" t="inlineStr">
        <is>
          <t>2026-08-19</t>
        </is>
      </c>
    </row>
    <row r="8" ht="23.85" customHeight="1" s="1">
      <c r="A8" t="inlineStr">
        <is>
          <t>K-04</t>
        </is>
      </c>
      <c r="B8" t="inlineStr">
        <is>
          <t>R5</t>
        </is>
      </c>
      <c r="C8" t="inlineStr">
        <is>
          <t>Keuken</t>
        </is>
      </c>
      <c r="D8" t="inlineStr">
        <is>
          <t>Inbouwkoelkast plaatsen</t>
        </is>
      </c>
      <c r="E8" t="inlineStr">
        <is>
          <t>per stuk</t>
        </is>
      </c>
      <c r="F8" s="9" t="n">
        <v>400</v>
      </c>
      <c r="G8" s="9" t="n">
        <v>550</v>
      </c>
      <c r="H8" s="9" t="n">
        <v>800</v>
      </c>
      <c r="I8" s="9">
        <f>G8*Aannames!$B$4</f>
        <v/>
      </c>
      <c r="J8" t="inlineStr">
        <is>
          <t>Extra keukenvoorziening; totaal extra keukenpunten is gecapt op de basispunten.</t>
        </is>
      </c>
      <c r="K8" t="inlineStr">
        <is>
          <t>Gecapt op basispunten</t>
        </is>
      </c>
      <c r="L8" t="inlineStr">
        <is>
          <t>Nee</t>
        </is>
      </c>
      <c r="M8" t="inlineStr">
        <is>
          <t>1 dag</t>
        </is>
      </c>
      <c r="N8" t="inlineStr">
        <is>
          <t>Schatting Claude, NL marktprijzen 2026</t>
        </is>
      </c>
      <c r="O8" t="inlineStr">
        <is>
          <t>schatting</t>
        </is>
      </c>
      <c r="P8" t="inlineStr">
        <is>
          <t>2026-08-19</t>
        </is>
      </c>
    </row>
    <row r="9" ht="23.85" customHeight="1" s="1">
      <c r="A9" t="inlineStr">
        <is>
          <t>K-05</t>
        </is>
      </c>
      <c r="B9" t="inlineStr">
        <is>
          <t>R5</t>
        </is>
      </c>
      <c r="C9" t="inlineStr">
        <is>
          <t>Keuken</t>
        </is>
      </c>
      <c r="D9" t="inlineStr">
        <is>
          <t>Inductiekookplaat 4-pits vervangen/plaatsen</t>
        </is>
      </c>
      <c r="E9" t="inlineStr">
        <is>
          <t>per stuk</t>
        </is>
      </c>
      <c r="F9" s="9" t="n">
        <v>300</v>
      </c>
      <c r="G9" s="9" t="n">
        <v>500</v>
      </c>
      <c r="H9" s="9" t="n">
        <v>900</v>
      </c>
      <c r="I9" s="9">
        <f>G9*Aannames!$B$4</f>
        <v/>
      </c>
      <c r="J9" t="inlineStr">
        <is>
          <t>Extra keukenvoorziening.</t>
        </is>
      </c>
      <c r="K9" t="inlineStr">
        <is>
          <t>Gecapt op basispunten</t>
        </is>
      </c>
      <c r="L9" t="inlineStr">
        <is>
          <t>Nee</t>
        </is>
      </c>
      <c r="M9" t="inlineStr">
        <is>
          <t>1 dag</t>
        </is>
      </c>
      <c r="N9" t="inlineStr">
        <is>
          <t>Schatting Claude, NL marktprijzen 2026</t>
        </is>
      </c>
      <c r="O9" t="inlineStr">
        <is>
          <t>schatting</t>
        </is>
      </c>
      <c r="P9" t="inlineStr">
        <is>
          <t>2026-08-19</t>
        </is>
      </c>
    </row>
    <row r="10" ht="23.85" customHeight="1" s="1">
      <c r="A10" t="inlineStr">
        <is>
          <t>K-06</t>
        </is>
      </c>
      <c r="B10" t="inlineStr">
        <is>
          <t>R5</t>
        </is>
      </c>
      <c r="C10" t="inlineStr">
        <is>
          <t>Keuken</t>
        </is>
      </c>
      <c r="D10" t="inlineStr">
        <is>
          <t>Afzuigkap met afvoer naar buiten</t>
        </is>
      </c>
      <c r="E10" t="inlineStr">
        <is>
          <t>per stuk</t>
        </is>
      </c>
      <c r="F10" s="9" t="n">
        <v>250</v>
      </c>
      <c r="G10" s="9" t="n">
        <v>450</v>
      </c>
      <c r="H10" s="9" t="n">
        <v>900</v>
      </c>
      <c r="I10" s="9">
        <f>G10*Aannames!$B$4</f>
        <v/>
      </c>
      <c r="J10" t="inlineStr">
        <is>
          <t>Extra keukenvoorziening.</t>
        </is>
      </c>
      <c r="K10" t="inlineStr">
        <is>
          <t>Gecapt op basispunten</t>
        </is>
      </c>
      <c r="L10" t="inlineStr">
        <is>
          <t>Nee</t>
        </is>
      </c>
      <c r="M10" t="inlineStr">
        <is>
          <t>1 dag</t>
        </is>
      </c>
      <c r="N10" t="inlineStr">
        <is>
          <t>Schatting Claude, NL marktprijzen 2026</t>
        </is>
      </c>
      <c r="O10" t="inlineStr">
        <is>
          <t>schatting</t>
        </is>
      </c>
      <c r="P10" t="inlineStr">
        <is>
          <t>2026-08-19</t>
        </is>
      </c>
    </row>
    <row r="11" ht="23.85" customHeight="1" s="1">
      <c r="A11" t="inlineStr">
        <is>
          <t>K-07</t>
        </is>
      </c>
      <c r="B11" t="inlineStr">
        <is>
          <t>R5</t>
        </is>
      </c>
      <c r="C11" t="inlineStr">
        <is>
          <t>Keuken</t>
        </is>
      </c>
      <c r="D11" t="inlineStr">
        <is>
          <t>Combimagnetron of oven inbouwen</t>
        </is>
      </c>
      <c r="E11" t="inlineStr">
        <is>
          <t>per stuk</t>
        </is>
      </c>
      <c r="F11" s="9" t="n">
        <v>300</v>
      </c>
      <c r="G11" s="9" t="n">
        <v>500</v>
      </c>
      <c r="H11" s="9" t="n">
        <v>900</v>
      </c>
      <c r="I11" s="9">
        <f>G11*Aannames!$B$4</f>
        <v/>
      </c>
      <c r="J11" t="inlineStr">
        <is>
          <t>Extra keukenvoorziening — telt zowel het magnetron- als het ovenpunt (een apparaat met twee functies = twee voorzieningen, §2.5.4).</t>
        </is>
      </c>
      <c r="K11" t="inlineStr">
        <is>
          <t>Gecapt op basispunten</t>
        </is>
      </c>
      <c r="L11" t="inlineStr">
        <is>
          <t>Nee</t>
        </is>
      </c>
      <c r="M11" t="inlineStr">
        <is>
          <t>1 dag</t>
        </is>
      </c>
      <c r="N11" t="inlineStr">
        <is>
          <t>Schatting Claude, NL marktprijzen 2026</t>
        </is>
      </c>
      <c r="O11" t="inlineStr">
        <is>
          <t>schatting</t>
        </is>
      </c>
      <c r="P11" t="inlineStr">
        <is>
          <t>2026-08-19</t>
        </is>
      </c>
    </row>
    <row r="12" ht="23.85" customHeight="1" s="1">
      <c r="A12" t="inlineStr">
        <is>
          <t>K-08</t>
        </is>
      </c>
      <c r="B12" t="inlineStr">
        <is>
          <t>R5</t>
        </is>
      </c>
      <c r="C12" t="inlineStr">
        <is>
          <t>Keuken</t>
        </is>
      </c>
      <c r="D12" t="inlineStr">
        <is>
          <t>Vaatwasser inbouwen incl. aansluiting</t>
        </is>
      </c>
      <c r="E12" t="inlineStr">
        <is>
          <t>per stuk</t>
        </is>
      </c>
      <c r="F12" s="9" t="n">
        <v>550</v>
      </c>
      <c r="G12" s="9" t="n">
        <v>850</v>
      </c>
      <c r="H12" s="9" t="n">
        <v>1400</v>
      </c>
      <c r="I12" s="9">
        <f>G12*Aannames!$B$4</f>
        <v/>
      </c>
      <c r="J12" t="inlineStr">
        <is>
          <t>Extra keukenvoorziening.</t>
        </is>
      </c>
      <c r="K12" t="inlineStr">
        <is>
          <t>Gecapt op basispunten</t>
        </is>
      </c>
      <c r="L12" t="inlineStr">
        <is>
          <t>Nee</t>
        </is>
      </c>
      <c r="M12" t="inlineStr">
        <is>
          <t>1 dag</t>
        </is>
      </c>
      <c r="N12" t="inlineStr">
        <is>
          <t>Schatting Claude, NL marktprijzen 2026</t>
        </is>
      </c>
      <c r="O12" t="inlineStr">
        <is>
          <t>schatting</t>
        </is>
      </c>
      <c r="P12" t="inlineStr">
        <is>
          <t>2026-08-19</t>
        </is>
      </c>
    </row>
    <row r="13" ht="23.85" customHeight="1" s="1">
      <c r="A13" t="inlineStr">
        <is>
          <t>S-01</t>
        </is>
      </c>
      <c r="B13" t="inlineStr">
        <is>
          <t>R6</t>
        </is>
      </c>
      <c r="C13" t="inlineStr">
        <is>
          <t>Sanitair</t>
        </is>
      </c>
      <c r="D13" t="inlineStr">
        <is>
          <t>Wastafel met wastafelkast op de kamer, incl. water- en afvoeraansluiting</t>
        </is>
      </c>
      <c r="E13" t="inlineStr">
        <is>
          <t>per kamer</t>
        </is>
      </c>
      <c r="F13" s="9" t="n">
        <v>800</v>
      </c>
      <c r="G13" s="9" t="n">
        <v>1300</v>
      </c>
      <c r="H13" s="9" t="n">
        <v>2400</v>
      </c>
      <c r="I13" s="9">
        <f>G13*Aannames!$B$4</f>
        <v/>
      </c>
      <c r="J13" t="inlineStr">
        <is>
          <t>Sanitaire punten voor de wastafel worden privé i.p.v. gedeeld door het aantal kamers met toegang.</t>
        </is>
      </c>
      <c r="K13" t="inlineStr">
        <is>
          <t>Direct effect per kamer</t>
        </is>
      </c>
      <c r="L13" t="inlineStr">
        <is>
          <t>Nee</t>
        </is>
      </c>
      <c r="M13" t="inlineStr">
        <is>
          <t>3-5 dagen</t>
        </is>
      </c>
      <c r="N13" t="inlineStr">
        <is>
          <t>Schatting Claude, NL marktprijzen 2026</t>
        </is>
      </c>
      <c r="O13" t="inlineStr">
        <is>
          <t>schatting</t>
        </is>
      </c>
      <c r="P13" t="inlineStr">
        <is>
          <t>2026-08-19</t>
        </is>
      </c>
    </row>
    <row r="14" ht="23.85" customHeight="1" s="1">
      <c r="A14" t="inlineStr">
        <is>
          <t>S-02</t>
        </is>
      </c>
      <c r="B14" t="inlineStr">
        <is>
          <t>R6</t>
        </is>
      </c>
      <c r="C14" t="inlineStr">
        <is>
          <t>Sanitair</t>
        </is>
      </c>
      <c r="D14" t="inlineStr">
        <is>
          <t>Tweede toilet plaatsen (incl. riool, ventilatie, wandje)</t>
        </is>
      </c>
      <c r="E14" t="inlineStr">
        <is>
          <t>per stuk</t>
        </is>
      </c>
      <c r="F14" s="9" t="n">
        <v>2500</v>
      </c>
      <c r="G14" s="9" t="n">
        <v>4200</v>
      </c>
      <c r="H14" s="9" t="n">
        <v>7000</v>
      </c>
      <c r="I14" s="9">
        <f>G14*Aannames!$B$4</f>
        <v/>
      </c>
      <c r="J14" t="inlineStr">
        <is>
          <t>Minder deling van de toiletpunten over kamers.</t>
        </is>
      </c>
      <c r="K14" t="inlineStr">
        <is>
          <t>Schaalt met aantal kamers</t>
        </is>
      </c>
      <c r="L14" t="inlineStr">
        <is>
          <t>Soms melding</t>
        </is>
      </c>
      <c r="M14" t="inlineStr">
        <is>
          <t>2-3 weken</t>
        </is>
      </c>
      <c r="N14" t="inlineStr">
        <is>
          <t>Schatting Claude, NL marktprijzen 2026</t>
        </is>
      </c>
      <c r="O14" t="inlineStr">
        <is>
          <t>schatting</t>
        </is>
      </c>
      <c r="P14" t="inlineStr">
        <is>
          <t>2026-08-19</t>
        </is>
      </c>
    </row>
    <row r="15" ht="23.85" customHeight="1" s="1">
      <c r="A15" t="inlineStr">
        <is>
          <t>S-03</t>
        </is>
      </c>
      <c r="B15" t="inlineStr">
        <is>
          <t>R6</t>
        </is>
      </c>
      <c r="C15" t="inlineStr">
        <is>
          <t>Sanitair</t>
        </is>
      </c>
      <c r="D15" t="inlineStr">
        <is>
          <t>Extra douche / tweede badkamer realiseren</t>
        </is>
      </c>
      <c r="E15" t="inlineStr">
        <is>
          <t>per stuk</t>
        </is>
      </c>
      <c r="F15" s="9" t="n">
        <v>6000</v>
      </c>
      <c r="G15" s="9" t="n">
        <v>9500</v>
      </c>
      <c r="H15" s="9" t="n">
        <v>16000</v>
      </c>
      <c r="I15" s="9">
        <f>G15*Aannames!$B$4</f>
        <v/>
      </c>
      <c r="J15" t="inlineStr">
        <is>
          <t>Douche-/badpunten over minder kamers verdeeld; ook basis voor extra sanitaire punten.</t>
        </is>
      </c>
      <c r="K15" t="inlineStr">
        <is>
          <t>Grootste sanitaire sprong</t>
        </is>
      </c>
      <c r="L15" t="inlineStr">
        <is>
          <t>Vaak melding</t>
        </is>
      </c>
      <c r="M15" t="inlineStr">
        <is>
          <t>3-5 weken</t>
        </is>
      </c>
      <c r="N15" t="inlineStr">
        <is>
          <t>Schatting Claude, NL marktprijzen 2026</t>
        </is>
      </c>
      <c r="O15" t="inlineStr">
        <is>
          <t>schatting</t>
        </is>
      </c>
      <c r="P15" t="inlineStr">
        <is>
          <t>2026-08-19</t>
        </is>
      </c>
    </row>
    <row r="16" ht="23.85" customHeight="1" s="1">
      <c r="A16" t="inlineStr">
        <is>
          <t>S-04</t>
        </is>
      </c>
      <c r="B16" t="inlineStr">
        <is>
          <t>R6</t>
        </is>
      </c>
      <c r="C16" t="inlineStr">
        <is>
          <t>Sanitair</t>
        </is>
      </c>
      <c r="D16" t="inlineStr">
        <is>
          <t>Thermostatische douchekraan plaatsen</t>
        </is>
      </c>
      <c r="E16" t="inlineStr">
        <is>
          <t>per stuk</t>
        </is>
      </c>
      <c r="F16" s="9" t="n">
        <v>250</v>
      </c>
      <c r="G16" s="9" t="n">
        <v>400</v>
      </c>
      <c r="H16" s="9" t="n">
        <v>700</v>
      </c>
      <c r="I16" s="9">
        <f>G16*Aannames!$B$4</f>
        <v/>
      </c>
      <c r="J16" t="inlineStr">
        <is>
          <t>Extra sanitaire voorziening; gecapt op de douche-/badpunten.</t>
        </is>
      </c>
      <c r="K16" t="inlineStr">
        <is>
          <t>Gecapt</t>
        </is>
      </c>
      <c r="L16" t="inlineStr">
        <is>
          <t>Nee</t>
        </is>
      </c>
      <c r="M16" t="inlineStr">
        <is>
          <t>1 dag</t>
        </is>
      </c>
      <c r="N16" t="inlineStr">
        <is>
          <t>Schatting Claude, NL marktprijzen 2026</t>
        </is>
      </c>
      <c r="O16" t="inlineStr">
        <is>
          <t>schatting</t>
        </is>
      </c>
      <c r="P16" t="inlineStr">
        <is>
          <t>2026-08-19</t>
        </is>
      </c>
    </row>
    <row r="17" ht="23.85" customHeight="1" s="1">
      <c r="A17" t="inlineStr">
        <is>
          <t>S-05</t>
        </is>
      </c>
      <c r="B17" t="inlineStr">
        <is>
          <t>R6</t>
        </is>
      </c>
      <c r="C17" t="inlineStr">
        <is>
          <t>Sanitair</t>
        </is>
      </c>
      <c r="D17" t="inlineStr">
        <is>
          <t>Handdoekradiator in badruimte</t>
        </is>
      </c>
      <c r="E17" t="inlineStr">
        <is>
          <t>per stuk</t>
        </is>
      </c>
      <c r="F17" s="9" t="n">
        <v>300</v>
      </c>
      <c r="G17" s="9" t="n">
        <v>500</v>
      </c>
      <c r="H17" s="9" t="n">
        <v>900</v>
      </c>
      <c r="I17" s="9">
        <f>G17*Aannames!$B$4</f>
        <v/>
      </c>
      <c r="J17" t="inlineStr">
        <is>
          <t>Extra sanitaire voorziening.</t>
        </is>
      </c>
      <c r="K17" t="inlineStr">
        <is>
          <t>Gecapt</t>
        </is>
      </c>
      <c r="L17" t="inlineStr">
        <is>
          <t>Nee</t>
        </is>
      </c>
      <c r="M17" t="inlineStr">
        <is>
          <t>1 dag</t>
        </is>
      </c>
      <c r="N17" t="inlineStr">
        <is>
          <t>Schatting Claude, NL marktprijzen 2026</t>
        </is>
      </c>
      <c r="O17" t="inlineStr">
        <is>
          <t>schatting</t>
        </is>
      </c>
      <c r="P17" t="inlineStr">
        <is>
          <t>2026-08-19</t>
        </is>
      </c>
    </row>
    <row r="18" ht="23.85" customHeight="1" s="1">
      <c r="A18" t="inlineStr">
        <is>
          <t>S-06</t>
        </is>
      </c>
      <c r="B18" t="inlineStr">
        <is>
          <t>R6</t>
        </is>
      </c>
      <c r="C18" t="inlineStr">
        <is>
          <t>Sanitair</t>
        </is>
      </c>
      <c r="D18" t="inlineStr">
        <is>
          <t>Mechanische ventilatie badruimte aanbrengen/vervangen</t>
        </is>
      </c>
      <c r="E18" t="inlineStr">
        <is>
          <t>per stuk</t>
        </is>
      </c>
      <c r="F18" s="9" t="n">
        <v>500</v>
      </c>
      <c r="G18" s="9" t="n">
        <v>900</v>
      </c>
      <c r="H18" s="9" t="n">
        <v>1600</v>
      </c>
      <c r="I18" s="9">
        <f>G18*Aannames!$B$4</f>
        <v/>
      </c>
      <c r="J18" t="inlineStr">
        <is>
          <t>Randvoorwaarde bouwbesluit bij extra natte ruimte.</t>
        </is>
      </c>
      <c r="K18" t="inlineStr">
        <is>
          <t>0 (enabler)</t>
        </is>
      </c>
      <c r="L18" t="inlineStr">
        <is>
          <t>Nee</t>
        </is>
      </c>
      <c r="M18" t="inlineStr">
        <is>
          <t>2-4 dagen</t>
        </is>
      </c>
      <c r="N18" t="inlineStr">
        <is>
          <t>Schatting Claude, NL marktprijzen 2026</t>
        </is>
      </c>
      <c r="O18" t="inlineStr">
        <is>
          <t>schatting</t>
        </is>
      </c>
      <c r="P18" t="inlineStr">
        <is>
          <t>2026-08-19</t>
        </is>
      </c>
    </row>
    <row r="19" ht="23.85" customHeight="1" s="1">
      <c r="A19" t="inlineStr">
        <is>
          <t>I-01</t>
        </is>
      </c>
      <c r="B19" t="inlineStr">
        <is>
          <t>R1</t>
        </is>
      </c>
      <c r="C19" t="inlineStr">
        <is>
          <t>Indeling</t>
        </is>
      </c>
      <c r="D19" t="inlineStr">
        <is>
          <t>Lichte scheidingswand plaatsen (metal stud, geïsoleerd, afgewerkt en geschilderd)</t>
        </is>
      </c>
      <c r="E19" t="inlineStr">
        <is>
          <t>per m¹ wand</t>
        </is>
      </c>
      <c r="F19" s="9" t="n">
        <v>380</v>
      </c>
      <c r="G19" s="9" t="n">
        <v>600</v>
      </c>
      <c r="H19" s="9" t="n">
        <v>900</v>
      </c>
      <c r="I19" s="9">
        <f>G19*Aannames!$B$4</f>
        <v/>
      </c>
      <c r="J19" t="inlineStr">
        <is>
          <t>Maakt extra kamer mogelijk of splitst een te grote ruimte. Let op: elke kamer moet een privévertrek houden.</t>
        </is>
      </c>
      <c r="K19" t="inlineStr">
        <is>
          <t>Bepaalt aantal kamers</t>
        </is>
      </c>
      <c r="L19" t="inlineStr">
        <is>
          <t>Meestal melding</t>
        </is>
      </c>
      <c r="M19" t="inlineStr">
        <is>
          <t>1-2 weken</t>
        </is>
      </c>
      <c r="N19" t="inlineStr">
        <is>
          <t>Schatting Claude, NL marktprijzen 2026</t>
        </is>
      </c>
      <c r="O19" t="inlineStr">
        <is>
          <t>schatting</t>
        </is>
      </c>
      <c r="P19" t="inlineStr">
        <is>
          <t>2026-08-19</t>
        </is>
      </c>
    </row>
    <row r="20" ht="23.85" customHeight="1" s="1">
      <c r="A20" t="inlineStr">
        <is>
          <t>I-02</t>
        </is>
      </c>
      <c r="B20" t="inlineStr">
        <is>
          <t>R1</t>
        </is>
      </c>
      <c r="C20" t="inlineStr">
        <is>
          <t>Indeling</t>
        </is>
      </c>
      <c r="D20" t="inlineStr">
        <is>
          <t>Niet-dragende wand verwijderen incl. afwerking en afvoer puin</t>
        </is>
      </c>
      <c r="E20" t="inlineStr">
        <is>
          <t>per project</t>
        </is>
      </c>
      <c r="F20" s="9" t="n">
        <v>800</v>
      </c>
      <c r="G20" s="9" t="n">
        <v>1600</v>
      </c>
      <c r="H20" s="9" t="n">
        <v>3000</v>
      </c>
      <c r="I20" s="9">
        <f>G20*Aannames!$B$4</f>
        <v/>
      </c>
      <c r="J20" t="inlineStr">
        <is>
          <t>Vergroot een privévertrek; kan een aftrekpunt (&lt;8 m²) wegnemen.</t>
        </is>
      </c>
      <c r="K20" t="inlineStr">
        <is>
          <t>+1 pt per m² erbij</t>
        </is>
      </c>
      <c r="L20" t="inlineStr">
        <is>
          <t>Nee</t>
        </is>
      </c>
      <c r="M20" t="inlineStr">
        <is>
          <t>3-5 dagen</t>
        </is>
      </c>
      <c r="N20" t="inlineStr">
        <is>
          <t>Schatting Claude, NL marktprijzen 2026</t>
        </is>
      </c>
      <c r="O20" t="inlineStr">
        <is>
          <t>schatting</t>
        </is>
      </c>
      <c r="P20" t="inlineStr">
        <is>
          <t>2026-08-19</t>
        </is>
      </c>
    </row>
    <row r="21" ht="23.85" customHeight="1" s="1">
      <c r="A21" t="inlineStr">
        <is>
          <t>I-03</t>
        </is>
      </c>
      <c r="B21" t="inlineStr">
        <is>
          <t>R1</t>
        </is>
      </c>
      <c r="C21" t="inlineStr">
        <is>
          <t>Indeling</t>
        </is>
      </c>
      <c r="D21" t="inlineStr">
        <is>
          <t>Dragende wand verwijderen incl. stalen ligger en constructieberekening</t>
        </is>
      </c>
      <c r="E21" t="inlineStr">
        <is>
          <t>per project</t>
        </is>
      </c>
      <c r="F21" s="9" t="n">
        <v>4000</v>
      </c>
      <c r="G21" s="9" t="n">
        <v>7500</v>
      </c>
      <c r="H21" s="9" t="n">
        <v>14000</v>
      </c>
      <c r="I21" s="9">
        <f>G21*Aannames!$B$4</f>
        <v/>
      </c>
      <c r="J21" t="inlineStr">
        <is>
          <t>Zelfde als I-02, maar bij dragende constructie.</t>
        </is>
      </c>
      <c r="K21" t="inlineStr">
        <is>
          <t>+1 pt per m² erbij</t>
        </is>
      </c>
      <c r="L21" t="inlineStr">
        <is>
          <t>Ja (omgevingsvergunning)</t>
        </is>
      </c>
      <c r="M21" t="inlineStr">
        <is>
          <t>4-8 weken</t>
        </is>
      </c>
      <c r="N21" t="inlineStr">
        <is>
          <t>Schatting Claude, NL marktprijzen 2026</t>
        </is>
      </c>
      <c r="O21" t="inlineStr">
        <is>
          <t>schatting</t>
        </is>
      </c>
      <c r="P21" t="inlineStr">
        <is>
          <t>2026-08-19</t>
        </is>
      </c>
    </row>
    <row r="22" ht="23.85" customHeight="1" s="1">
      <c r="A22" t="inlineStr">
        <is>
          <t>I-04</t>
        </is>
      </c>
      <c r="B22" t="inlineStr">
        <is>
          <t>R1</t>
        </is>
      </c>
      <c r="C22" t="inlineStr">
        <is>
          <t>Indeling</t>
        </is>
      </c>
      <c r="D22" t="inlineStr">
        <is>
          <t>Vaste trap naar zolder plaatsen</t>
        </is>
      </c>
      <c r="E22" t="inlineStr">
        <is>
          <t>per stuk</t>
        </is>
      </c>
      <c r="F22" s="9" t="n">
        <v>2500</v>
      </c>
      <c r="G22" s="9" t="n">
        <v>4200</v>
      </c>
      <c r="H22" s="9" t="n">
        <v>7500</v>
      </c>
      <c r="I22" s="9">
        <f>G22*Aannames!$B$4</f>
        <v/>
      </c>
      <c r="J22" t="inlineStr">
        <is>
          <t>Zolder telt pas als vertrek bij een vaste trap en beschoten dak — kan een hele kamer toevoegen.</t>
        </is>
      </c>
      <c r="K22" t="inlineStr">
        <is>
          <t>Ontsluit hele kamer</t>
        </is>
      </c>
      <c r="L22" t="inlineStr">
        <is>
          <t>Soms melding</t>
        </is>
      </c>
      <c r="M22" t="inlineStr">
        <is>
          <t>1-2 weken</t>
        </is>
      </c>
      <c r="N22" t="inlineStr">
        <is>
          <t>Schatting Claude, NL marktprijzen 2026</t>
        </is>
      </c>
      <c r="O22" t="inlineStr">
        <is>
          <t>schatting</t>
        </is>
      </c>
      <c r="P22" t="inlineStr">
        <is>
          <t>2026-08-19</t>
        </is>
      </c>
    </row>
    <row r="23" ht="23.85" customHeight="1" s="1">
      <c r="A23" t="inlineStr">
        <is>
          <t>I-05</t>
        </is>
      </c>
      <c r="B23" t="inlineStr">
        <is>
          <t>R1</t>
        </is>
      </c>
      <c r="C23" t="inlineStr">
        <is>
          <t>Indeling</t>
        </is>
      </c>
      <c r="D23" t="inlineStr">
        <is>
          <t>Dakkapel plaatsen (2,5-3 m breed)</t>
        </is>
      </c>
      <c r="E23" t="inlineStr">
        <is>
          <t>per stuk</t>
        </is>
      </c>
      <c r="F23" s="9" t="n">
        <v>7500</v>
      </c>
      <c r="G23" s="9" t="n">
        <v>11000</v>
      </c>
      <c r="H23" s="9" t="n">
        <v>16000</v>
      </c>
      <c r="I23" s="9">
        <f>G23*Aannames!$B$4</f>
        <v/>
      </c>
      <c r="J23" t="inlineStr">
        <is>
          <t>Vergroot bruikbaar zolderoppervlak en lost hoogte-/raameisen op.</t>
        </is>
      </c>
      <c r="K23" t="inlineStr">
        <is>
          <t>Ontsluit m² + raam</t>
        </is>
      </c>
      <c r="L23" t="inlineStr">
        <is>
          <t>Ja (meestal)</t>
        </is>
      </c>
      <c r="M23" t="inlineStr">
        <is>
          <t>6-10 weken</t>
        </is>
      </c>
      <c r="N23" t="inlineStr">
        <is>
          <t>Schatting Claude, NL marktprijzen 2026</t>
        </is>
      </c>
      <c r="O23" t="inlineStr">
        <is>
          <t>schatting</t>
        </is>
      </c>
      <c r="P23" t="inlineStr">
        <is>
          <t>2026-08-19</t>
        </is>
      </c>
    </row>
    <row r="24" ht="23.85" customHeight="1" s="1">
      <c r="A24" t="inlineStr">
        <is>
          <t>I-06</t>
        </is>
      </c>
      <c r="B24" t="inlineStr">
        <is>
          <t>R2</t>
        </is>
      </c>
      <c r="C24" t="inlineStr">
        <is>
          <t>Indeling</t>
        </is>
      </c>
      <c r="D24" t="inlineStr">
        <is>
          <t>Berging of bijkeuken bruikbaar maken (isoleren, afwerken, verlichting)</t>
        </is>
      </c>
      <c r="E24" t="inlineStr">
        <is>
          <t>per project</t>
        </is>
      </c>
      <c r="F24" s="9" t="n">
        <v>1000</v>
      </c>
      <c r="G24" s="9" t="n">
        <v>2200</v>
      </c>
      <c r="H24" s="9" t="n">
        <v>4000</v>
      </c>
      <c r="I24" s="9">
        <f>G24*Aannames!$B$4</f>
        <v/>
      </c>
      <c r="J24" t="inlineStr">
        <is>
          <t>Overige ruimte telt voor 0,75 pt per m², gedeeld door kamers met toegang.</t>
        </is>
      </c>
      <c r="K24" t="inlineStr">
        <is>
          <t>0,75 pt per m²</t>
        </is>
      </c>
      <c r="L24" t="inlineStr">
        <is>
          <t>Nee</t>
        </is>
      </c>
      <c r="M24" t="inlineStr">
        <is>
          <t>1-2 weken</t>
        </is>
      </c>
      <c r="N24" t="inlineStr">
        <is>
          <t>Schatting Claude, NL marktprijzen 2026</t>
        </is>
      </c>
      <c r="O24" t="inlineStr">
        <is>
          <t>schatting</t>
        </is>
      </c>
      <c r="P24" t="inlineStr">
        <is>
          <t>2026-08-19</t>
        </is>
      </c>
    </row>
    <row r="25" ht="23.85" customHeight="1" s="1">
      <c r="A25" t="inlineStr">
        <is>
          <t>V-01</t>
        </is>
      </c>
      <c r="B25" t="inlineStr">
        <is>
          <t>R3</t>
        </is>
      </c>
      <c r="C25" t="inlineStr">
        <is>
          <t>Verwarming</t>
        </is>
      </c>
      <c r="D25" t="inlineStr">
        <is>
          <t>Radiator bijplaatsen incl. leidingwerk vanaf bestaande cv</t>
        </is>
      </c>
      <c r="E25" t="inlineStr">
        <is>
          <t>per kamer</t>
        </is>
      </c>
      <c r="F25" s="9" t="n">
        <v>600</v>
      </c>
      <c r="G25" s="9" t="n">
        <v>950</v>
      </c>
      <c r="H25" s="9" t="n">
        <v>1700</v>
      </c>
      <c r="I25" s="9">
        <f>G25*Aannames!$B$4</f>
        <v/>
      </c>
      <c r="J25" t="inlineStr">
        <is>
          <t>2 pt voor een verwarmd privévertrek, keuken of badruimte; 1 pt (max 4) voor overige verwarmde ruimten.</t>
        </is>
      </c>
      <c r="K25" t="inlineStr">
        <is>
          <t>2 pt per vertrek</t>
        </is>
      </c>
      <c r="L25" t="inlineStr">
        <is>
          <t>Nee</t>
        </is>
      </c>
      <c r="M25" t="inlineStr">
        <is>
          <t>2-4 dagen</t>
        </is>
      </c>
      <c r="N25" t="inlineStr">
        <is>
          <t>Schatting Claude, NL marktprijzen 2026</t>
        </is>
      </c>
      <c r="O25" t="inlineStr">
        <is>
          <t>schatting</t>
        </is>
      </c>
      <c r="P25" t="inlineStr">
        <is>
          <t>2026-08-19</t>
        </is>
      </c>
    </row>
    <row r="26" ht="23.85" customHeight="1" s="1">
      <c r="A26" t="inlineStr">
        <is>
          <t>V-02</t>
        </is>
      </c>
      <c r="B26" t="inlineStr">
        <is>
          <t>R3</t>
        </is>
      </c>
      <c r="C26" t="inlineStr">
        <is>
          <t>Verwarming</t>
        </is>
      </c>
      <c r="D26" t="inlineStr">
        <is>
          <t>Elektrische verwarming (infraroodpaneel of convector) per kamer</t>
        </is>
      </c>
      <c r="E26" t="inlineStr">
        <is>
          <t>per kamer</t>
        </is>
      </c>
      <c r="F26" s="9" t="n">
        <v>350</v>
      </c>
      <c r="G26" s="9" t="n">
        <v>600</v>
      </c>
      <c r="H26" s="9" t="n">
        <v>1000</v>
      </c>
      <c r="I26" s="9">
        <f>G26*Aannames!$B$4</f>
        <v/>
      </c>
      <c r="J26" t="inlineStr">
        <is>
          <t>Zelfde punten als V-01, lagere investering maar hogere exploitatielast en slechter voor het label.</t>
        </is>
      </c>
      <c r="K26" t="inlineStr">
        <is>
          <t>2 pt per vertrek</t>
        </is>
      </c>
      <c r="L26" t="inlineStr">
        <is>
          <t>Nee</t>
        </is>
      </c>
      <c r="M26" t="inlineStr">
        <is>
          <t>1 dag</t>
        </is>
      </c>
      <c r="N26" t="inlineStr">
        <is>
          <t>Schatting Claude, NL marktprijzen 2026</t>
        </is>
      </c>
      <c r="O26" t="inlineStr">
        <is>
          <t>schatting</t>
        </is>
      </c>
      <c r="P26" t="inlineStr">
        <is>
          <t>2026-08-19</t>
        </is>
      </c>
    </row>
    <row r="27" ht="23.85" customHeight="1" s="1">
      <c r="A27" t="inlineStr">
        <is>
          <t>V-03</t>
        </is>
      </c>
      <c r="B27" t="inlineStr">
        <is>
          <t>R3</t>
        </is>
      </c>
      <c r="C27" t="inlineStr">
        <is>
          <t>Verkoeling</t>
        </is>
      </c>
      <c r="D27" t="inlineStr">
        <is>
          <t>Split-airco (verwarmen én koelen) per kamer</t>
        </is>
      </c>
      <c r="E27" t="inlineStr">
        <is>
          <t>per kamer</t>
        </is>
      </c>
      <c r="F27" s="9" t="n">
        <v>1500</v>
      </c>
      <c r="G27" s="9" t="n">
        <v>1500</v>
      </c>
      <c r="H27" s="9" t="n">
        <v>3500</v>
      </c>
      <c r="I27" s="9">
        <f>G27*Aannames!$B$4</f>
        <v/>
      </c>
      <c r="J27" t="inlineStr">
        <is>
          <t>Levert bovenop verwarming 1 pt per verkoeld vertrek, met een maximum van 2 pt per kamer.</t>
        </is>
      </c>
      <c r="K27" t="inlineStr">
        <is>
          <t>+1 pt (max 2)</t>
        </is>
      </c>
      <c r="L27" t="inlineStr">
        <is>
          <t>Soms melding (buitenunit)</t>
        </is>
      </c>
      <c r="M27" t="inlineStr">
        <is>
          <t>1 week</t>
        </is>
      </c>
      <c r="N27" t="inlineStr">
        <is>
          <t>Inschatting gebruiker, 2026-08-26</t>
        </is>
      </c>
      <c r="O27" t="inlineStr">
        <is>
          <t>schatting</t>
        </is>
      </c>
      <c r="P27" t="inlineStr">
        <is>
          <t>2026-08-26</t>
        </is>
      </c>
    </row>
    <row r="28" ht="23.85" customHeight="1" s="1">
      <c r="A28" t="inlineStr">
        <is>
          <t>V-04</t>
        </is>
      </c>
      <c r="B28" t="inlineStr">
        <is>
          <t>R3</t>
        </is>
      </c>
      <c r="C28" t="inlineStr">
        <is>
          <t>Verkoeling</t>
        </is>
      </c>
      <c r="D28" t="inlineStr">
        <is>
          <t>Multisplit-airco, 1 buitenunit met 4 binnenunits</t>
        </is>
      </c>
      <c r="E28" t="inlineStr">
        <is>
          <t>per systeem</t>
        </is>
      </c>
      <c r="F28" s="9" t="n">
        <v>6000</v>
      </c>
      <c r="G28" s="9" t="n">
        <v>8500</v>
      </c>
      <c r="H28" s="9" t="n">
        <v>12000</v>
      </c>
      <c r="I28" s="9">
        <f>G28*Aannames!$B$4</f>
        <v/>
      </c>
      <c r="J28" t="inlineStr">
        <is>
          <t>Zelfde als V-03, goedkoper per kamer bij 3+ kamers.</t>
        </is>
      </c>
      <c r="K28" t="inlineStr">
        <is>
          <t>+1 pt (max 2) p.k.</t>
        </is>
      </c>
      <c r="L28" t="inlineStr">
        <is>
          <t>Soms melding</t>
        </is>
      </c>
      <c r="M28" t="inlineStr">
        <is>
          <t>1-2 weken</t>
        </is>
      </c>
      <c r="N28" t="inlineStr">
        <is>
          <t>Schatting Claude, NL marktprijzen 2026</t>
        </is>
      </c>
      <c r="O28" t="inlineStr">
        <is>
          <t>schatting</t>
        </is>
      </c>
      <c r="P28" t="inlineStr">
        <is>
          <t>2026-08-19</t>
        </is>
      </c>
    </row>
    <row r="29" ht="23.85" customHeight="1" s="1">
      <c r="A29" t="inlineStr">
        <is>
          <t>E-01</t>
        </is>
      </c>
      <c r="B29" t="inlineStr">
        <is>
          <t>R4</t>
        </is>
      </c>
      <c r="C29" t="inlineStr">
        <is>
          <t>Energie</t>
        </is>
      </c>
      <c r="D29" t="inlineStr">
        <is>
          <t>Spouwmuurisolatie laten inblazen (rijwoning, ca. 90 m² gevel)</t>
        </is>
      </c>
      <c r="E29" t="inlineStr">
        <is>
          <t>per woning</t>
        </is>
      </c>
      <c r="F29" s="9" t="n">
        <v>1800</v>
      </c>
      <c r="G29" s="9" t="n">
        <v>3000</v>
      </c>
      <c r="H29" s="9" t="n">
        <v>4500</v>
      </c>
      <c r="I29" s="9">
        <f>G29*Aannames!$B$4</f>
        <v/>
      </c>
      <c r="J29" t="inlineStr">
        <is>
          <t>Werkt via de energielabelfactor op de vierkante meters — het effect schaalt dus met de kameroppervlakte.</t>
        </is>
      </c>
      <c r="K29" t="inlineStr">
        <is>
          <t>Labelstap</t>
        </is>
      </c>
      <c r="L29" t="inlineStr">
        <is>
          <t>Nee</t>
        </is>
      </c>
      <c r="M29" t="inlineStr">
        <is>
          <t>1-2 dagen</t>
        </is>
      </c>
      <c r="N29" t="inlineStr">
        <is>
          <t>Schatting Claude, NL marktprijzen 2026</t>
        </is>
      </c>
      <c r="O29" t="inlineStr">
        <is>
          <t>schatting</t>
        </is>
      </c>
      <c r="P29" t="inlineStr">
        <is>
          <t>2026-08-19</t>
        </is>
      </c>
    </row>
    <row r="30" ht="23.85" customHeight="1" s="1">
      <c r="A30" t="inlineStr">
        <is>
          <t>E-02</t>
        </is>
      </c>
      <c r="B30" t="inlineStr">
        <is>
          <t>R4</t>
        </is>
      </c>
      <c r="C30" t="inlineStr">
        <is>
          <t>Energie</t>
        </is>
      </c>
      <c r="D30" t="inlineStr">
        <is>
          <t>Vloerisolatie kruipruimte</t>
        </is>
      </c>
      <c r="E30" t="inlineStr">
        <is>
          <t>per m² vloer</t>
        </is>
      </c>
      <c r="F30" s="9" t="n">
        <v>30</v>
      </c>
      <c r="G30" s="9" t="n">
        <v>50</v>
      </c>
      <c r="H30" s="9" t="n">
        <v>75</v>
      </c>
      <c r="I30" s="9">
        <f>G30*Aannames!$B$4</f>
        <v/>
      </c>
      <c r="J30" t="inlineStr">
        <is>
          <t>Idem, labelfactor.</t>
        </is>
      </c>
      <c r="K30" t="inlineStr">
        <is>
          <t>Labelstap</t>
        </is>
      </c>
      <c r="L30" t="inlineStr">
        <is>
          <t>Nee</t>
        </is>
      </c>
      <c r="M30" t="inlineStr">
        <is>
          <t>2-3 dagen</t>
        </is>
      </c>
      <c r="N30" t="inlineStr">
        <is>
          <t>Schatting Claude, NL marktprijzen 2026</t>
        </is>
      </c>
      <c r="O30" t="inlineStr">
        <is>
          <t>schatting</t>
        </is>
      </c>
      <c r="P30" t="inlineStr">
        <is>
          <t>2026-08-19</t>
        </is>
      </c>
    </row>
    <row r="31" ht="23.85" customHeight="1" s="1">
      <c r="A31" t="inlineStr">
        <is>
          <t>E-03</t>
        </is>
      </c>
      <c r="B31" t="inlineStr">
        <is>
          <t>R4</t>
        </is>
      </c>
      <c r="C31" t="inlineStr">
        <is>
          <t>Energie</t>
        </is>
      </c>
      <c r="D31" t="inlineStr">
        <is>
          <t>Dakisolatie aan de binnenzijde incl. afwerking</t>
        </is>
      </c>
      <c r="E31" t="inlineStr">
        <is>
          <t>per m² dak</t>
        </is>
      </c>
      <c r="F31" s="9" t="n">
        <v>70</v>
      </c>
      <c r="G31" s="9" t="n">
        <v>110</v>
      </c>
      <c r="H31" s="9" t="n">
        <v>170</v>
      </c>
      <c r="I31" s="9">
        <f>G31*Aannames!$B$4</f>
        <v/>
      </c>
      <c r="J31" t="inlineStr">
        <is>
          <t>Idem, labelfactor. Verlaagt tegelijk de hoogte — controleer de vertrekeisen.</t>
        </is>
      </c>
      <c r="K31" t="inlineStr">
        <is>
          <t>Labelstap</t>
        </is>
      </c>
      <c r="L31" t="inlineStr">
        <is>
          <t>Nee</t>
        </is>
      </c>
      <c r="M31" t="inlineStr">
        <is>
          <t>1-2 weken</t>
        </is>
      </c>
      <c r="N31" t="inlineStr">
        <is>
          <t>Schatting Claude, NL marktprijzen 2026</t>
        </is>
      </c>
      <c r="O31" t="inlineStr">
        <is>
          <t>schatting</t>
        </is>
      </c>
      <c r="P31" t="inlineStr">
        <is>
          <t>2026-08-19</t>
        </is>
      </c>
    </row>
    <row r="32" ht="23.85" customHeight="1" s="1">
      <c r="A32" t="inlineStr">
        <is>
          <t>E-04</t>
        </is>
      </c>
      <c r="B32" t="inlineStr">
        <is>
          <t>R4</t>
        </is>
      </c>
      <c r="C32" t="inlineStr">
        <is>
          <t>Energie</t>
        </is>
      </c>
      <c r="D32" t="inlineStr">
        <is>
          <t>HR++ glas plaatsen in bestaande kozijnen</t>
        </is>
      </c>
      <c r="E32" t="inlineStr">
        <is>
          <t>per m² glas</t>
        </is>
      </c>
      <c r="F32" s="9" t="n">
        <v>250</v>
      </c>
      <c r="G32" s="9" t="n">
        <v>350</v>
      </c>
      <c r="H32" s="9" t="n">
        <v>500</v>
      </c>
      <c r="I32" s="9">
        <f>G32*Aannames!$B$4</f>
        <v/>
      </c>
      <c r="J32" t="inlineStr">
        <is>
          <t>Idem, labelfactor.</t>
        </is>
      </c>
      <c r="K32" t="inlineStr">
        <is>
          <t>Labelstap</t>
        </is>
      </c>
      <c r="L32" t="inlineStr">
        <is>
          <t>Nee</t>
        </is>
      </c>
      <c r="M32" t="inlineStr">
        <is>
          <t>1-2 weken</t>
        </is>
      </c>
      <c r="N32" t="inlineStr">
        <is>
          <t>Schatting Claude, NL marktprijzen 2026</t>
        </is>
      </c>
      <c r="O32" t="inlineStr">
        <is>
          <t>schatting</t>
        </is>
      </c>
      <c r="P32" t="inlineStr">
        <is>
          <t>2026-08-19</t>
        </is>
      </c>
    </row>
    <row r="33" ht="23.85" customHeight="1" s="1">
      <c r="A33" t="inlineStr">
        <is>
          <t>E-05</t>
        </is>
      </c>
      <c r="B33" t="inlineStr">
        <is>
          <t>R4</t>
        </is>
      </c>
      <c r="C33" t="inlineStr">
        <is>
          <t>Energie</t>
        </is>
      </c>
      <c r="D33" t="inlineStr">
        <is>
          <t>Triple glas incl. nieuwe kozijnen</t>
        </is>
      </c>
      <c r="E33" t="inlineStr">
        <is>
          <t>per m² glas</t>
        </is>
      </c>
      <c r="F33" s="9" t="n">
        <v>450</v>
      </c>
      <c r="G33" s="9" t="n">
        <v>650</v>
      </c>
      <c r="H33" s="9" t="n">
        <v>950</v>
      </c>
      <c r="I33" s="9">
        <f>G33*Aannames!$B$4</f>
        <v/>
      </c>
      <c r="J33" t="inlineStr">
        <is>
          <t>Idem, labelfactor. Zelden rendabel puur voor de punten.</t>
        </is>
      </c>
      <c r="K33" t="inlineStr">
        <is>
          <t>Labelstap</t>
        </is>
      </c>
      <c r="L33" t="inlineStr">
        <is>
          <t>Soms melding</t>
        </is>
      </c>
      <c r="M33" t="inlineStr">
        <is>
          <t>3-6 weken</t>
        </is>
      </c>
      <c r="N33" t="inlineStr">
        <is>
          <t>Schatting Claude, NL marktprijzen 2026</t>
        </is>
      </c>
      <c r="O33" t="inlineStr">
        <is>
          <t>schatting</t>
        </is>
      </c>
      <c r="P33" t="inlineStr">
        <is>
          <t>2026-08-19</t>
        </is>
      </c>
    </row>
    <row r="34" ht="23.85" customHeight="1" s="1">
      <c r="A34" t="inlineStr">
        <is>
          <t>E-06</t>
        </is>
      </c>
      <c r="B34" t="inlineStr">
        <is>
          <t>R4</t>
        </is>
      </c>
      <c r="C34" t="inlineStr">
        <is>
          <t>Energie</t>
        </is>
      </c>
      <c r="D34" t="inlineStr">
        <is>
          <t>Zonnepanelen, 10 panelen incl. omvormer</t>
        </is>
      </c>
      <c r="E34" t="inlineStr">
        <is>
          <t>per systeem</t>
        </is>
      </c>
      <c r="F34" s="9" t="n">
        <v>3500</v>
      </c>
      <c r="G34" s="9" t="n">
        <v>5000</v>
      </c>
      <c r="H34" s="9" t="n">
        <v>7000</v>
      </c>
      <c r="I34" s="9">
        <f>G34*Aannames!$B$4</f>
        <v/>
      </c>
      <c r="J34" t="inlineStr">
        <is>
          <t>Verbetert het label; effect hangt af van de rest van de schil.</t>
        </is>
      </c>
      <c r="K34" t="inlineStr">
        <is>
          <t>Labelstap</t>
        </is>
      </c>
      <c r="L34" t="inlineStr">
        <is>
          <t>Nee</t>
        </is>
      </c>
      <c r="M34" t="inlineStr">
        <is>
          <t>1-2 dagen</t>
        </is>
      </c>
      <c r="N34" t="inlineStr">
        <is>
          <t>Schatting Claude, NL marktprijzen 2026</t>
        </is>
      </c>
      <c r="O34" t="inlineStr">
        <is>
          <t>schatting</t>
        </is>
      </c>
      <c r="P34" t="inlineStr">
        <is>
          <t>2026-08-19</t>
        </is>
      </c>
    </row>
    <row r="35" ht="23.85" customHeight="1" s="1">
      <c r="A35" t="inlineStr">
        <is>
          <t>E-07</t>
        </is>
      </c>
      <c r="B35" t="inlineStr">
        <is>
          <t>R4</t>
        </is>
      </c>
      <c r="C35" t="inlineStr">
        <is>
          <t>Energie</t>
        </is>
      </c>
      <c r="D35" t="inlineStr">
        <is>
          <t>Hybride warmtepomp naast bestaande cv-ketel</t>
        </is>
      </c>
      <c r="E35" t="inlineStr">
        <is>
          <t>per woning</t>
        </is>
      </c>
      <c r="F35" s="9" t="n">
        <v>4500</v>
      </c>
      <c r="G35" s="9" t="n">
        <v>7000</v>
      </c>
      <c r="H35" s="9" t="n">
        <v>10000</v>
      </c>
      <c r="I35" s="9">
        <f>G35*Aannames!$B$4</f>
        <v/>
      </c>
      <c r="J35" t="inlineStr">
        <is>
          <t>Meestal de sterkste losse labelverbetering bij een matig geïsoleerde woning.</t>
        </is>
      </c>
      <c r="K35" t="inlineStr">
        <is>
          <t>1-2 labelstappen</t>
        </is>
      </c>
      <c r="L35" t="inlineStr">
        <is>
          <t>Nee</t>
        </is>
      </c>
      <c r="M35" t="inlineStr">
        <is>
          <t>1 week</t>
        </is>
      </c>
      <c r="N35" t="inlineStr">
        <is>
          <t>Schatting Claude, NL marktprijzen 2026</t>
        </is>
      </c>
      <c r="O35" t="inlineStr">
        <is>
          <t>schatting</t>
        </is>
      </c>
      <c r="P35" t="inlineStr">
        <is>
          <t>2026-08-19</t>
        </is>
      </c>
    </row>
    <row r="36" ht="23.85" customHeight="1" s="1">
      <c r="A36" t="inlineStr">
        <is>
          <t>E-08</t>
        </is>
      </c>
      <c r="B36" t="inlineStr">
        <is>
          <t>R4</t>
        </is>
      </c>
      <c r="C36" t="inlineStr">
        <is>
          <t>Energie</t>
        </is>
      </c>
      <c r="D36" t="inlineStr">
        <is>
          <t>Volledig elektrische warmtepomp incl. afgiftesysteem</t>
        </is>
      </c>
      <c r="E36" t="inlineStr">
        <is>
          <t>per woning</t>
        </is>
      </c>
      <c r="F36" s="9" t="n">
        <v>11000</v>
      </c>
      <c r="G36" s="9" t="n">
        <v>16000</v>
      </c>
      <c r="H36" s="9" t="n">
        <v>24000</v>
      </c>
      <c r="I36" s="9">
        <f>G36*Aannames!$B$4</f>
        <v/>
      </c>
      <c r="J36" t="inlineStr">
        <is>
          <t>Grote labelsprong, hoge investering — vrijwel altijd te duur puur voor de punten.</t>
        </is>
      </c>
      <c r="K36" t="inlineStr">
        <is>
          <t>2+ labelstappen</t>
        </is>
      </c>
      <c r="L36" t="inlineStr">
        <is>
          <t>Soms melding</t>
        </is>
      </c>
      <c r="M36" t="inlineStr">
        <is>
          <t>3-6 weken</t>
        </is>
      </c>
      <c r="N36" t="inlineStr">
        <is>
          <t>Schatting Claude, NL marktprijzen 2026</t>
        </is>
      </c>
      <c r="O36" t="inlineStr">
        <is>
          <t>schatting</t>
        </is>
      </c>
      <c r="P36" t="inlineStr">
        <is>
          <t>2026-08-19</t>
        </is>
      </c>
    </row>
    <row r="37" ht="23.85" customHeight="1" s="1">
      <c r="A37" t="inlineStr">
        <is>
          <t>E-09</t>
        </is>
      </c>
      <c r="B37" t="inlineStr">
        <is>
          <t>R4</t>
        </is>
      </c>
      <c r="C37" t="inlineStr">
        <is>
          <t>Energie</t>
        </is>
      </c>
      <c r="D37" t="inlineStr">
        <is>
          <t>Nieuw energielabel laten opnemen door EP-adviseur</t>
        </is>
      </c>
      <c r="E37" t="inlineStr">
        <is>
          <t>per woning</t>
        </is>
      </c>
      <c r="F37" s="9" t="n">
        <v>250</v>
      </c>
      <c r="G37" s="9" t="n">
        <v>450</v>
      </c>
      <c r="H37" s="9" t="n">
        <v>750</v>
      </c>
      <c r="I37" s="9">
        <f>G37*Aannames!$B$4</f>
        <v/>
      </c>
      <c r="J37" t="inlineStr">
        <is>
          <t>Geen puntenwinst op zichzelf, maar zonder geregistreerd label valt de telling terug op het bouwjaar — vaak enkele punten per kamer lager.</t>
        </is>
      </c>
      <c r="K37" t="inlineStr">
        <is>
          <t>0 (registratie)</t>
        </is>
      </c>
      <c r="L37" t="inlineStr">
        <is>
          <t>Nee</t>
        </is>
      </c>
      <c r="M37" t="inlineStr">
        <is>
          <t>1-2 weken</t>
        </is>
      </c>
      <c r="N37" t="inlineStr">
        <is>
          <t>Schatting Claude, NL marktprijzen 2026</t>
        </is>
      </c>
      <c r="O37" t="inlineStr">
        <is>
          <t>schatting</t>
        </is>
      </c>
      <c r="P37" t="inlineStr">
        <is>
          <t>2026-08-19</t>
        </is>
      </c>
    </row>
    <row r="38" ht="23.85" customHeight="1" s="1">
      <c r="A38" t="inlineStr">
        <is>
          <t>B-01</t>
        </is>
      </c>
      <c r="B38" t="inlineStr">
        <is>
          <t>R8</t>
        </is>
      </c>
      <c r="C38" t="inlineStr">
        <is>
          <t>Buitenruimte</t>
        </is>
      </c>
      <c r="D38" t="inlineStr">
        <is>
          <t>Frans balkon plaatsen (deur + hekwerk)</t>
        </is>
      </c>
      <c r="E38" t="inlineStr">
        <is>
          <t>per stuk</t>
        </is>
      </c>
      <c r="F38" s="9" t="n">
        <v>2000</v>
      </c>
      <c r="G38" s="9" t="n">
        <v>3200</v>
      </c>
      <c r="H38" s="9" t="n">
        <v>5000</v>
      </c>
      <c r="I38" s="9">
        <f>G38*Aannames!$B$4</f>
        <v/>
      </c>
      <c r="J38" t="inlineStr">
        <is>
          <t>Privébuitenruimte telt 2 pt + 0,35 pt per m², met een maximum van 15 pt per kamer.</t>
        </is>
      </c>
      <c r="K38" t="inlineStr">
        <is>
          <t>Startpunten 2 pt</t>
        </is>
      </c>
      <c r="L38" t="inlineStr">
        <is>
          <t>Ja (gevelwijziging)</t>
        </is>
      </c>
      <c r="M38" t="inlineStr">
        <is>
          <t>4-8 weken</t>
        </is>
      </c>
      <c r="N38" t="inlineStr">
        <is>
          <t>Schatting Claude, NL marktprijzen 2026</t>
        </is>
      </c>
      <c r="O38" t="inlineStr">
        <is>
          <t>schatting</t>
        </is>
      </c>
      <c r="P38" t="inlineStr">
        <is>
          <t>2026-08-19</t>
        </is>
      </c>
    </row>
    <row r="39" ht="23.85" customHeight="1" s="1">
      <c r="A39" t="inlineStr">
        <is>
          <t>B-02</t>
        </is>
      </c>
      <c r="B39" t="inlineStr">
        <is>
          <t>R8</t>
        </is>
      </c>
      <c r="C39" t="inlineStr">
        <is>
          <t>Buitenruimte</t>
        </is>
      </c>
      <c r="D39" t="inlineStr">
        <is>
          <t>Balkon aanbrengen aan achtergevel</t>
        </is>
      </c>
      <c r="E39" t="inlineStr">
        <is>
          <t>per stuk</t>
        </is>
      </c>
      <c r="F39" s="9" t="n">
        <v>8000</v>
      </c>
      <c r="G39" s="9" t="n">
        <v>13000</v>
      </c>
      <c r="H39" s="9" t="n">
        <v>20000</v>
      </c>
      <c r="I39" s="9">
        <f>G39*Aannames!$B$4</f>
        <v/>
      </c>
      <c r="J39" t="inlineStr">
        <is>
          <t>Idem, met meer m².</t>
        </is>
      </c>
      <c r="K39" t="inlineStr">
        <is>
          <t>2 pt + 0,35/m²</t>
        </is>
      </c>
      <c r="L39" t="inlineStr">
        <is>
          <t>Ja</t>
        </is>
      </c>
      <c r="M39" t="inlineStr">
        <is>
          <t>8-16 weken</t>
        </is>
      </c>
      <c r="N39" t="inlineStr">
        <is>
          <t>Schatting Claude, NL marktprijzen 2026</t>
        </is>
      </c>
      <c r="O39" t="inlineStr">
        <is>
          <t>schatting</t>
        </is>
      </c>
      <c r="P39" t="inlineStr">
        <is>
          <t>2026-08-19</t>
        </is>
      </c>
    </row>
    <row r="40" ht="23.85" customHeight="1" s="1">
      <c r="A40" t="inlineStr">
        <is>
          <t>B-03</t>
        </is>
      </c>
      <c r="B40" t="inlineStr">
        <is>
          <t>R8</t>
        </is>
      </c>
      <c r="C40" t="inlineStr">
        <is>
          <t>Buitenruimte</t>
        </is>
      </c>
      <c r="D40" t="inlineStr">
        <is>
          <t>Dakterras realiseren incl. toegang en hekwerk</t>
        </is>
      </c>
      <c r="E40" t="inlineStr">
        <is>
          <t>per stuk</t>
        </is>
      </c>
      <c r="F40" s="9" t="n">
        <v>10000</v>
      </c>
      <c r="G40" s="9" t="n">
        <v>18000</v>
      </c>
      <c r="H40" s="9" t="n">
        <v>30000</v>
      </c>
      <c r="I40" s="9">
        <f>G40*Aannames!$B$4</f>
        <v/>
      </c>
      <c r="J40" t="inlineStr">
        <is>
          <t>Idem; vaak de enige optie op de bovenste verdieping.</t>
        </is>
      </c>
      <c r="K40" t="inlineStr">
        <is>
          <t>2 pt + 0,35/m²</t>
        </is>
      </c>
      <c r="L40" t="inlineStr">
        <is>
          <t>Ja</t>
        </is>
      </c>
      <c r="M40" t="inlineStr">
        <is>
          <t>8-16 weken</t>
        </is>
      </c>
      <c r="N40" t="inlineStr">
        <is>
          <t>Schatting Claude, NL marktprijzen 2026</t>
        </is>
      </c>
      <c r="O40" t="inlineStr">
        <is>
          <t>schatting</t>
        </is>
      </c>
      <c r="P40" t="inlineStr">
        <is>
          <t>2026-08-19</t>
        </is>
      </c>
    </row>
    <row r="41" ht="23.85" customHeight="1" s="1">
      <c r="A41" t="inlineStr">
        <is>
          <t>B-04</t>
        </is>
      </c>
      <c r="B41" t="inlineStr">
        <is>
          <t>R8</t>
        </is>
      </c>
      <c r="C41" t="inlineStr">
        <is>
          <t>Buitenruimte</t>
        </is>
      </c>
      <c r="D41" t="inlineStr">
        <is>
          <t>Tuin of plaats toegankelijk en bruikbaar maken (terras, verlichting, berging)</t>
        </is>
      </c>
      <c r="E41" t="inlineStr">
        <is>
          <t>per project</t>
        </is>
      </c>
      <c r="F41" s="9" t="n">
        <v>1500</v>
      </c>
      <c r="G41" s="9" t="n">
        <v>3000</v>
      </c>
      <c r="H41" s="9" t="n">
        <v>6000</v>
      </c>
      <c r="I41" s="9">
        <f>G41*Aannames!$B$4</f>
        <v/>
      </c>
      <c r="J41" t="inlineStr">
        <is>
          <t>Gemeenschappelijke buitenruimte telt 0,75 pt per m², gedeeld door kamers en adressen.</t>
        </is>
      </c>
      <c r="K41" t="inlineStr">
        <is>
          <t>0,75 pt per m² gedeeld</t>
        </is>
      </c>
      <c r="L41" t="inlineStr">
        <is>
          <t>Nee</t>
        </is>
      </c>
      <c r="M41" t="inlineStr">
        <is>
          <t>1-2 weken</t>
        </is>
      </c>
      <c r="N41" t="inlineStr">
        <is>
          <t>Schatting Claude, NL marktprijzen 2026</t>
        </is>
      </c>
      <c r="O41" t="inlineStr">
        <is>
          <t>schatting</t>
        </is>
      </c>
      <c r="P41" t="inlineStr">
        <is>
          <t>2026-08-19</t>
        </is>
      </c>
    </row>
    <row r="42" ht="23.85" customHeight="1" s="1">
      <c r="A42" t="inlineStr">
        <is>
          <t>P-01</t>
        </is>
      </c>
      <c r="B42" t="inlineStr">
        <is>
          <t>R10</t>
        </is>
      </c>
      <c r="C42" t="inlineStr">
        <is>
          <t>Parkeren</t>
        </is>
      </c>
      <c r="D42" t="inlineStr">
        <is>
          <t>Laadpaal plaatsen op eigen terrein</t>
        </is>
      </c>
      <c r="E42" t="inlineStr">
        <is>
          <t>per stuk</t>
        </is>
      </c>
      <c r="F42" s="9" t="n">
        <v>1200</v>
      </c>
      <c r="G42" s="9" t="n">
        <v>2000</v>
      </c>
      <c r="H42" s="9" t="n">
        <v>3200</v>
      </c>
      <c r="I42" s="9">
        <f>G42*Aannames!$B$4</f>
        <v/>
      </c>
      <c r="J42" t="inlineStr">
        <is>
          <t>Parkeerpunten worden gedeeld door adressen en kamers; alleen zinvol bij eigen parkeerplaats.</t>
        </is>
      </c>
      <c r="K42" t="inlineStr">
        <is>
          <t>Klein, gedeeld</t>
        </is>
      </c>
      <c r="L42" t="inlineStr">
        <is>
          <t>Soms melding</t>
        </is>
      </c>
      <c r="M42" t="inlineStr">
        <is>
          <t>1-2 weken</t>
        </is>
      </c>
      <c r="N42" t="inlineStr">
        <is>
          <t>Schatting Claude, NL marktprijzen 2026</t>
        </is>
      </c>
      <c r="O42" t="inlineStr">
        <is>
          <t>schatting</t>
        </is>
      </c>
      <c r="P42" t="inlineStr">
        <is>
          <t>2026-08-19</t>
        </is>
      </c>
    </row>
    <row r="43" ht="23.85" customHeight="1" s="1">
      <c r="A43" t="inlineStr">
        <is>
          <t>X-01</t>
        </is>
      </c>
      <c r="B43" t="inlineStr">
        <is>
          <t>R12</t>
        </is>
      </c>
      <c r="C43" t="inlineStr">
        <is>
          <t>Bijzonder</t>
        </is>
      </c>
      <c r="D43" t="inlineStr">
        <is>
          <t>Video-intercom / aanbelfunctie met camerabeeld op de kamer</t>
        </is>
      </c>
      <c r="E43" t="inlineStr">
        <is>
          <t>per pand</t>
        </is>
      </c>
      <c r="F43" s="9" t="n">
        <v>800</v>
      </c>
      <c r="G43" s="9" t="n">
        <v>1500</v>
      </c>
      <c r="H43" s="9" t="n">
        <v>2500</v>
      </c>
      <c r="I43" s="9">
        <f>G43*Aannames!$B$4</f>
        <v/>
      </c>
      <c r="J43" t="inlineStr">
        <is>
          <t>0,25 pt per kamer. Lage investering, telt bij 6+ kamers licht mee.</t>
        </is>
      </c>
      <c r="K43" t="inlineStr">
        <is>
          <t>0,25 pt per kamer</t>
        </is>
      </c>
      <c r="L43" t="inlineStr">
        <is>
          <t>Nee</t>
        </is>
      </c>
      <c r="M43" t="inlineStr">
        <is>
          <t>2-4 dagen</t>
        </is>
      </c>
      <c r="N43" t="inlineStr">
        <is>
          <t>Schatting Claude, NL marktprijzen 2026</t>
        </is>
      </c>
      <c r="O43" t="inlineStr">
        <is>
          <t>schatting</t>
        </is>
      </c>
      <c r="P43" t="inlineStr">
        <is>
          <t>2026-08-19</t>
        </is>
      </c>
    </row>
    <row r="44" ht="23.85" customHeight="1" s="1">
      <c r="A44" t="inlineStr">
        <is>
          <t>A-01</t>
        </is>
      </c>
      <c r="B44" t="inlineStr">
        <is>
          <t>R13</t>
        </is>
      </c>
      <c r="C44" t="inlineStr">
        <is>
          <t>Aftrekpunten</t>
        </is>
      </c>
      <c r="D44" t="inlineStr">
        <is>
          <t>Raam vergroten zodat het ruitoppervlak boven 0,75 m² komt</t>
        </is>
      </c>
      <c r="E44" t="inlineStr">
        <is>
          <t>per kamer</t>
        </is>
      </c>
      <c r="F44" s="9" t="n">
        <v>1500</v>
      </c>
      <c r="G44" s="9" t="n">
        <v>2800</v>
      </c>
      <c r="H44" s="9" t="n">
        <v>4500</v>
      </c>
      <c r="I44" s="9">
        <f>G44*Aannames!$B$4</f>
        <v/>
      </c>
      <c r="J44" t="inlineStr">
        <is>
          <t>Neemt een aftrek van 4 pt per kamer weg — vrijwel altijd de goedkoopste puntenwinst als de aftrek er staat.</t>
        </is>
      </c>
      <c r="K44" t="inlineStr">
        <is>
          <t>+4 pt (aftrek vervalt)</t>
        </is>
      </c>
      <c r="L44" t="inlineStr">
        <is>
          <t>Ja (gevelwijziging)</t>
        </is>
      </c>
      <c r="M44" t="inlineStr">
        <is>
          <t>3-6 weken</t>
        </is>
      </c>
      <c r="N44" t="inlineStr">
        <is>
          <t>Schatting Claude, NL marktprijzen 2026</t>
        </is>
      </c>
      <c r="O44" t="inlineStr">
        <is>
          <t>schatting</t>
        </is>
      </c>
      <c r="P44" t="inlineStr">
        <is>
          <t>2026-08-19</t>
        </is>
      </c>
    </row>
    <row r="45" ht="23.85" customHeight="1" s="1">
      <c r="A45" t="inlineStr">
        <is>
          <t>A-02</t>
        </is>
      </c>
      <c r="B45" t="inlineStr">
        <is>
          <t>R13</t>
        </is>
      </c>
      <c r="C45" t="inlineStr">
        <is>
          <t>Aftrekpunten</t>
        </is>
      </c>
      <c r="D45" t="inlineStr">
        <is>
          <t>Raam verlagen of extra raam onder 1,60 m plaatsen</t>
        </is>
      </c>
      <c r="E45" t="inlineStr">
        <is>
          <t>per kamer</t>
        </is>
      </c>
      <c r="F45" s="9" t="n">
        <v>1500</v>
      </c>
      <c r="G45" s="9" t="n">
        <v>2600</v>
      </c>
      <c r="H45" s="9" t="n">
        <v>4200</v>
      </c>
      <c r="I45" s="9">
        <f>G45*Aannames!$B$4</f>
        <v/>
      </c>
      <c r="J45" t="inlineStr">
        <is>
          <t>Neemt de aftrek van 4 pt weg voor 'laagste raam hoger dan 1,60 m'.</t>
        </is>
      </c>
      <c r="K45" t="inlineStr">
        <is>
          <t>+4 pt</t>
        </is>
      </c>
      <c r="L45" t="inlineStr">
        <is>
          <t>Ja</t>
        </is>
      </c>
      <c r="M45" t="inlineStr">
        <is>
          <t>3-6 weken</t>
        </is>
      </c>
      <c r="N45" t="inlineStr">
        <is>
          <t>Schatting Claude, NL marktprijzen 2026</t>
        </is>
      </c>
      <c r="O45" t="inlineStr">
        <is>
          <t>schatting</t>
        </is>
      </c>
      <c r="P45" t="inlineStr">
        <is>
          <t>2026-08-19</t>
        </is>
      </c>
    </row>
    <row r="46" ht="23.85" customHeight="1" s="1">
      <c r="A46" t="inlineStr">
        <is>
          <t>A-03</t>
        </is>
      </c>
      <c r="B46" t="inlineStr">
        <is>
          <t>R13</t>
        </is>
      </c>
      <c r="C46" t="inlineStr">
        <is>
          <t>Aftrekpunten</t>
        </is>
      </c>
      <c r="D46" t="inlineStr">
        <is>
          <t>Eigen gang of entree creëren zodat de kamer niet via een verhuurdersruimte bereikbaar is</t>
        </is>
      </c>
      <c r="E46" t="inlineStr">
        <is>
          <t>per kamer</t>
        </is>
      </c>
      <c r="F46" s="9" t="n">
        <v>2000</v>
      </c>
      <c r="G46" s="9" t="n">
        <v>4500</v>
      </c>
      <c r="H46" s="9" t="n">
        <v>9000</v>
      </c>
      <c r="I46" s="9">
        <f>G46*Aannames!$B$4</f>
        <v/>
      </c>
      <c r="J46" t="inlineStr">
        <is>
          <t>Neemt de aftrek van 4 pt weg voor bereikbaarheid via de verhuurder.</t>
        </is>
      </c>
      <c r="K46" t="inlineStr">
        <is>
          <t>+4 pt</t>
        </is>
      </c>
      <c r="L46" t="inlineStr">
        <is>
          <t>Meestal melding</t>
        </is>
      </c>
      <c r="M46" t="inlineStr">
        <is>
          <t>2-4 weken</t>
        </is>
      </c>
      <c r="N46" t="inlineStr">
        <is>
          <t>Schatting Claude, NL marktprijzen 2026</t>
        </is>
      </c>
      <c r="O46" t="inlineStr">
        <is>
          <t>schatting</t>
        </is>
      </c>
      <c r="P46" t="inlineStr">
        <is>
          <t>2026-08-19</t>
        </is>
      </c>
    </row>
    <row r="47" ht="23.85" customHeight="1" s="1">
      <c r="A47" t="inlineStr">
        <is>
          <t>A-04</t>
        </is>
      </c>
      <c r="B47" t="inlineStr">
        <is>
          <t>R13</t>
        </is>
      </c>
      <c r="C47" t="inlineStr">
        <is>
          <t>Aftrekpunten</t>
        </is>
      </c>
      <c r="D47" t="inlineStr">
        <is>
          <t>Kamer vergroten tot minimaal 8 m² (wand verplaatsen, zie ook I-01/I-02)</t>
        </is>
      </c>
      <c r="E47" t="inlineStr">
        <is>
          <t>per kamer</t>
        </is>
      </c>
      <c r="F47" s="9" t="n">
        <v>1200</v>
      </c>
      <c r="G47" s="9" t="n">
        <v>2500</v>
      </c>
      <c r="H47" s="9" t="n">
        <v>5000</v>
      </c>
      <c r="I47" s="9">
        <f>G47*Aannames!$B$4</f>
        <v/>
      </c>
      <c r="J47" t="inlineStr">
        <is>
          <t>Neemt de aftrek van 4 pt weg voor een privévertrek kleiner dan 8 m², plus 1 pt per extra m².</t>
        </is>
      </c>
      <c r="K47" t="inlineStr">
        <is>
          <t>+4 pt + m²-punten</t>
        </is>
      </c>
      <c r="L47" t="inlineStr">
        <is>
          <t>Meestal melding</t>
        </is>
      </c>
      <c r="M47" t="inlineStr">
        <is>
          <t>1-2 weken</t>
        </is>
      </c>
      <c r="N47" t="inlineStr">
        <is>
          <t>Schatting Claude, NL marktprijzen 2026</t>
        </is>
      </c>
      <c r="O47" t="inlineStr">
        <is>
          <t>schatting</t>
        </is>
      </c>
      <c r="P47" t="inlineStr">
        <is>
          <t>2026-08-19</t>
        </is>
      </c>
    </row>
    <row r="48" ht="23.85" customHeight="1" s="1">
      <c r="A48" t="inlineStr">
        <is>
          <t>PR-01</t>
        </is>
      </c>
      <c r="B48" t="inlineStr">
        <is>
          <t>PROC</t>
        </is>
      </c>
      <c r="C48" t="inlineStr">
        <is>
          <t>Proces</t>
        </is>
      </c>
      <c r="D48" t="inlineStr">
        <is>
          <t>Inmeting en plattegrond conform NEN 2580</t>
        </is>
      </c>
      <c r="E48" t="inlineStr">
        <is>
          <t>per pand</t>
        </is>
      </c>
      <c r="F48" s="9" t="n">
        <v>300</v>
      </c>
      <c r="G48" s="9" t="n">
        <v>550</v>
      </c>
      <c r="H48" s="9" t="n">
        <v>900</v>
      </c>
      <c r="I48" s="9">
        <f>G48*Aannames!$B$4</f>
        <v/>
      </c>
      <c r="J48" t="inlineStr">
        <is>
          <t>Geen punten, wel de basis voor een verdedigbare telling bij een geschil.</t>
        </is>
      </c>
      <c r="K48" t="inlineStr">
        <is>
          <t>0</t>
        </is>
      </c>
      <c r="L48" t="inlineStr">
        <is>
          <t>Nee</t>
        </is>
      </c>
      <c r="M48" t="inlineStr">
        <is>
          <t>1-2 weken</t>
        </is>
      </c>
      <c r="N48" t="inlineStr">
        <is>
          <t>Schatting Claude, NL marktprijzen 2026</t>
        </is>
      </c>
      <c r="O48" t="inlineStr">
        <is>
          <t>schatting</t>
        </is>
      </c>
      <c r="P48" t="inlineStr">
        <is>
          <t>2026-08-19</t>
        </is>
      </c>
    </row>
    <row r="49" ht="23.85" customHeight="1" s="1">
      <c r="A49" t="inlineStr">
        <is>
          <t>PR-02</t>
        </is>
      </c>
      <c r="B49" t="inlineStr">
        <is>
          <t>PROC</t>
        </is>
      </c>
      <c r="C49" t="inlineStr">
        <is>
          <t>Proces</t>
        </is>
      </c>
      <c r="D49" t="inlineStr">
        <is>
          <t>Bouwkundig advies / constructeursberekening</t>
        </is>
      </c>
      <c r="E49" t="inlineStr">
        <is>
          <t>per project</t>
        </is>
      </c>
      <c r="F49" s="9" t="n">
        <v>750</v>
      </c>
      <c r="G49" s="9" t="n">
        <v>1400</v>
      </c>
      <c r="H49" s="9" t="n">
        <v>2500</v>
      </c>
      <c r="I49" s="9">
        <f>G49*Aannames!$B$4</f>
        <v/>
      </c>
      <c r="J49" t="inlineStr">
        <is>
          <t>Geen punten; randvoorwaarde bij I-03 en I-05.</t>
        </is>
      </c>
      <c r="K49" t="inlineStr">
        <is>
          <t>0</t>
        </is>
      </c>
      <c r="L49" t="inlineStr">
        <is>
          <t>Nee</t>
        </is>
      </c>
      <c r="M49" t="inlineStr">
        <is>
          <t>2-4 weken</t>
        </is>
      </c>
      <c r="N49" t="inlineStr">
        <is>
          <t>Schatting Claude, NL marktprijzen 2026</t>
        </is>
      </c>
      <c r="O49" t="inlineStr">
        <is>
          <t>schatting</t>
        </is>
      </c>
      <c r="P49" t="inlineStr">
        <is>
          <t>2026-08-19</t>
        </is>
      </c>
    </row>
    <row r="50" ht="23.85" customHeight="1" s="1">
      <c r="A50" t="inlineStr">
        <is>
          <t>PR-03</t>
        </is>
      </c>
      <c r="B50" t="inlineStr">
        <is>
          <t>PROC</t>
        </is>
      </c>
      <c r="C50" t="inlineStr">
        <is>
          <t>Proces</t>
        </is>
      </c>
      <c r="D50" t="inlineStr">
        <is>
          <t>Leges omzettings- of kamerverhuurvergunning</t>
        </is>
      </c>
      <c r="E50" t="inlineStr">
        <is>
          <t>per aanvraag</t>
        </is>
      </c>
      <c r="F50" s="9" t="n">
        <v>500</v>
      </c>
      <c r="G50" s="9" t="n">
        <v>1500</v>
      </c>
      <c r="H50" s="9" t="n">
        <v>3500</v>
      </c>
      <c r="I50" s="9">
        <f>G50*Aannames!$B$4</f>
        <v/>
      </c>
      <c r="J50" t="inlineStr">
        <is>
          <t>Geen punten; sterk gemeenteafhankelijk. Rotterdam apart controleren.</t>
        </is>
      </c>
      <c r="K50" t="inlineStr">
        <is>
          <t>0</t>
        </is>
      </c>
      <c r="L50" t="inlineStr">
        <is>
          <t>N.v.t.</t>
        </is>
      </c>
      <c r="M50" t="inlineStr">
        <is>
          <t>8-16 weken</t>
        </is>
      </c>
      <c r="N50" t="inlineStr">
        <is>
          <t>Schatting Claude, NL marktprijzen 2026</t>
        </is>
      </c>
      <c r="O50" t="inlineStr">
        <is>
          <t>schatting</t>
        </is>
      </c>
      <c r="P50" t="inlineStr">
        <is>
          <t>2026-08-19</t>
        </is>
      </c>
    </row>
    <row r="51" ht="23.85" customHeight="1" s="1">
      <c r="A51" t="inlineStr">
        <is>
          <t>PR-04</t>
        </is>
      </c>
      <c r="B51" t="inlineStr">
        <is>
          <t>PROC</t>
        </is>
      </c>
      <c r="C51" t="inlineStr">
        <is>
          <t>Proces</t>
        </is>
      </c>
      <c r="D51" t="inlineStr">
        <is>
          <t>Brandveiligheid: gekoppelde rookmelders en brandwerende deuren</t>
        </is>
      </c>
      <c r="E51" t="inlineStr">
        <is>
          <t>per kamer</t>
        </is>
      </c>
      <c r="F51" s="9" t="n">
        <v>700</v>
      </c>
      <c r="G51" s="9" t="n">
        <v>1300</v>
      </c>
      <c r="H51" s="9" t="n">
        <v>2500</v>
      </c>
      <c r="I51" s="9">
        <f>G51*Aannames!$B$4</f>
        <v/>
      </c>
      <c r="J51" t="inlineStr">
        <is>
          <t>Geen punten; wettelijke eis bij kamerverhuur en vaak vergunningvoorwaarde.</t>
        </is>
      </c>
      <c r="K51" t="inlineStr">
        <is>
          <t>0</t>
        </is>
      </c>
      <c r="L51" t="inlineStr">
        <is>
          <t>Vergunningvoorwaarde</t>
        </is>
      </c>
      <c r="M51" t="inlineStr">
        <is>
          <t>1-2 weken</t>
        </is>
      </c>
      <c r="N51" t="inlineStr">
        <is>
          <t>Schatting Claude, NL marktprijzen 2026</t>
        </is>
      </c>
      <c r="O51" t="inlineStr">
        <is>
          <t>schatting</t>
        </is>
      </c>
      <c r="P51" t="inlineStr">
        <is>
          <t>2026-08-19</t>
        </is>
      </c>
    </row>
    <row r="52" ht="23.85" customHeight="1" s="1">
      <c r="A52" t="inlineStr">
        <is>
          <t>PR-05</t>
        </is>
      </c>
      <c r="B52" t="inlineStr">
        <is>
          <t>PROC</t>
        </is>
      </c>
      <c r="C52" t="inlineStr">
        <is>
          <t>Proces</t>
        </is>
      </c>
      <c r="D52" t="inlineStr">
        <is>
          <t>Geluidsisolatie tussen kamers (wand- en vloeropbouw)</t>
        </is>
      </c>
      <c r="E52" t="inlineStr">
        <is>
          <t>per m²</t>
        </is>
      </c>
      <c r="F52" s="9" t="n">
        <v>60</v>
      </c>
      <c r="G52" s="9" t="n">
        <v>110</v>
      </c>
      <c r="H52" s="9" t="n">
        <v>180</v>
      </c>
      <c r="I52" s="9">
        <f>G52*Aannames!$B$4</f>
        <v/>
      </c>
      <c r="J52" t="inlineStr">
        <is>
          <t>Geen punten; vaak vergunningvoorwaarde en bepalend voor de verhuurbaarheid.</t>
        </is>
      </c>
      <c r="K52" t="inlineStr">
        <is>
          <t>0</t>
        </is>
      </c>
      <c r="L52" t="inlineStr">
        <is>
          <t>Vergunningvoorwaarde</t>
        </is>
      </c>
      <c r="M52" t="inlineStr">
        <is>
          <t>1-2 weken</t>
        </is>
      </c>
      <c r="N52" t="inlineStr">
        <is>
          <t>Schatting Claude, NL marktprijzen 2026</t>
        </is>
      </c>
      <c r="O52" t="inlineStr">
        <is>
          <t>schatting</t>
        </is>
      </c>
      <c r="P52" t="inlineStr">
        <is>
          <t>2026-08-19</t>
        </is>
      </c>
    </row>
    <row r="53" ht="23.85" customHeight="1" s="1">
      <c r="A53" t="inlineStr">
        <is>
          <t>PR-06</t>
        </is>
      </c>
      <c r="B53" t="inlineStr">
        <is>
          <t>PROC</t>
        </is>
      </c>
      <c r="C53" t="inlineStr">
        <is>
          <t>Proces</t>
        </is>
      </c>
      <c r="D53" t="inlineStr">
        <is>
          <t>Huurderving tijdens verbouwing</t>
        </is>
      </c>
      <c r="E53" t="inlineStr">
        <is>
          <t>per kamer per maand</t>
        </is>
      </c>
      <c r="F53" s="9" t="n">
        <v>400</v>
      </c>
      <c r="G53" s="9" t="n">
        <v>550</v>
      </c>
      <c r="H53" s="9" t="n">
        <v>800</v>
      </c>
      <c r="I53" s="9">
        <f>G53*Aannames!$B$4</f>
        <v/>
      </c>
      <c r="J53" t="inlineStr">
        <is>
          <t>Geen punten; hoort wel in de investeringskant van het scenario, anders lijkt de terugverdientijd te kort.</t>
        </is>
      </c>
      <c r="K53" t="inlineStr">
        <is>
          <t>0</t>
        </is>
      </c>
      <c r="L53" t="inlineStr">
        <is>
          <t>N.v.t.</t>
        </is>
      </c>
      <c r="M53" t="inlineStr">
        <is>
          <t>—</t>
        </is>
      </c>
      <c r="N53" t="inlineStr">
        <is>
          <t>Schatting Claude, NL marktprijzen 2026</t>
        </is>
      </c>
      <c r="O53" t="inlineStr">
        <is>
          <t>schatting</t>
        </is>
      </c>
      <c r="P53" t="inlineStr">
        <is>
          <t>2026-08-19</t>
        </is>
      </c>
    </row>
    <row r="54">
      <c r="A54" t="inlineStr">
        <is>
          <t>K-09</t>
        </is>
      </c>
      <c r="B54" t="inlineStr">
        <is>
          <t>R5</t>
        </is>
      </c>
      <c r="C54" t="inlineStr">
        <is>
          <t>Keuken</t>
        </is>
      </c>
      <c r="D54" t="inlineStr">
        <is>
          <t>Kitchenette/keukenblok 240 cm per kamer (spoelbak+kraan, inductieplaat, afzuigkap, elektrische oven, vaatwasser, koelkast, 2x bovenkast) incl. plaatsing</t>
        </is>
      </c>
      <c r="E54" t="inlineStr">
        <is>
          <t>per kamer</t>
        </is>
      </c>
      <c r="F54" t="n">
        <v>3171.6</v>
      </c>
      <c r="G54" t="n">
        <v>3171.6</v>
      </c>
      <c r="H54" t="n">
        <v>3171.6</v>
      </c>
      <c r="I54">
        <f>G54*Aannames!$B$4</f>
        <v/>
      </c>
      <c r="J54" t="inlineStr">
        <is>
          <t>Verschuift keukenpunten van gedeeld naar privé, zelfde principe als K-01 maar met aanrechtlengte 240 cm (grotere basispunten-drempel).</t>
        </is>
      </c>
      <c r="K54" t="inlineStr">
        <is>
          <t>14 pt (aanrecht 240 cm)</t>
        </is>
      </c>
      <c r="L54" t="inlineStr">
        <is>
          <t>Nee (wel bouwbesluit/ventilatie)</t>
        </is>
      </c>
      <c r="M54" t="inlineStr">
        <is>
          <t>1-2 weken</t>
        </is>
      </c>
      <c r="N54" t="inlineStr">
        <is>
          <t>Offerte leverancier, keukenblok 240cm/14pt (resources/Kosten per keukenblok.xlsx), 2026-08-26</t>
        </is>
      </c>
      <c r="O54" t="inlineStr">
        <is>
          <t>offerte</t>
        </is>
      </c>
      <c r="P54" t="inlineStr">
        <is>
          <t>2026-08-26</t>
        </is>
      </c>
    </row>
    <row r="55" ht="15" customHeight="1" s="1">
      <c r="A55" t="inlineStr">
        <is>
          <t>K-10</t>
        </is>
      </c>
      <c r="B55" t="inlineStr">
        <is>
          <t>R5</t>
        </is>
      </c>
      <c r="C55" t="inlineStr">
        <is>
          <t>Keuken</t>
        </is>
      </c>
      <c r="D55" t="inlineStr">
        <is>
          <t>Eenhandsmengkraan plaatsen (keuken)</t>
        </is>
      </c>
      <c r="E55" t="inlineStr">
        <is>
          <t>per stuk</t>
        </is>
      </c>
      <c r="F55" t="n">
        <v>150</v>
      </c>
      <c r="G55" t="n">
        <v>250</v>
      </c>
      <c r="H55" t="n">
        <v>450</v>
      </c>
      <c r="I55">
        <f>G55*Aannames!$B$4</f>
        <v/>
      </c>
      <c r="J55" t="inlineStr">
        <is>
          <t>Extra keukenvoorziening.</t>
        </is>
      </c>
      <c r="K55" t="inlineStr">
        <is>
          <t>Gecapt op basispunten</t>
        </is>
      </c>
      <c r="L55" t="inlineStr">
        <is>
          <t>Nee</t>
        </is>
      </c>
      <c r="M55" t="inlineStr">
        <is>
          <t>1 dag</t>
        </is>
      </c>
      <c r="N55" t="inlineStr">
        <is>
          <t>Schatting Claude, NL marktprijzen 2026</t>
        </is>
      </c>
      <c r="O55" t="inlineStr">
        <is>
          <t>schatting</t>
        </is>
      </c>
      <c r="P55" t="inlineStr">
        <is>
          <t>2026-10-02</t>
        </is>
      </c>
    </row>
    <row r="56">
      <c r="A56" t="inlineStr">
        <is>
          <t>K-11</t>
        </is>
      </c>
      <c r="B56" t="inlineStr">
        <is>
          <t>R5</t>
        </is>
      </c>
      <c r="C56" t="inlineStr">
        <is>
          <t>Keuken</t>
        </is>
      </c>
      <c r="D56" t="inlineStr">
        <is>
          <t>Thermostatische mengkraan plaatsen (keuken)</t>
        </is>
      </c>
      <c r="E56" t="inlineStr">
        <is>
          <t>per stuk</t>
        </is>
      </c>
      <c r="F56" t="n">
        <v>280</v>
      </c>
      <c r="G56" t="n">
        <v>420</v>
      </c>
      <c r="H56" t="n">
        <v>700</v>
      </c>
      <c r="I56">
        <f>G56*Aannames!$B$4</f>
        <v/>
      </c>
      <c r="J56" t="inlineStr">
        <is>
          <t>Extra keukenvoorziening.</t>
        </is>
      </c>
      <c r="K56" t="inlineStr">
        <is>
          <t>Gecapt op basispunten</t>
        </is>
      </c>
      <c r="L56" t="inlineStr">
        <is>
          <t>Nee</t>
        </is>
      </c>
      <c r="M56" t="inlineStr">
        <is>
          <t>1 dag</t>
        </is>
      </c>
      <c r="N56" t="inlineStr">
        <is>
          <t>Schatting Claude, NL marktprijzen 2026</t>
        </is>
      </c>
      <c r="O56" t="inlineStr">
        <is>
          <t>schatting</t>
        </is>
      </c>
      <c r="P56" t="inlineStr">
        <is>
          <t>2026-10-02</t>
        </is>
      </c>
    </row>
    <row r="57" ht="15" customHeight="1" s="1">
      <c r="A57" t="inlineStr">
        <is>
          <t>S-07</t>
        </is>
      </c>
      <c r="B57" t="inlineStr">
        <is>
          <t>R6</t>
        </is>
      </c>
      <c r="C57" t="inlineStr">
        <is>
          <t>Sanitair</t>
        </is>
      </c>
      <c r="D57" t="inlineStr">
        <is>
          <t>Eenhandsmengkraan plaatsen (wastafel)</t>
        </is>
      </c>
      <c r="E57" t="inlineStr">
        <is>
          <t>per stuk</t>
        </is>
      </c>
      <c r="F57" t="n">
        <v>150</v>
      </c>
      <c r="G57" t="n">
        <v>250</v>
      </c>
      <c r="H57" t="n">
        <v>450</v>
      </c>
      <c r="I57">
        <f>G57*Aannames!$B$4</f>
        <v/>
      </c>
      <c r="J57" t="inlineStr">
        <is>
          <t>Extra sanitaire voorziening; gecapt op de douche-/badpunten.</t>
        </is>
      </c>
      <c r="K57" t="inlineStr">
        <is>
          <t>Gecapt</t>
        </is>
      </c>
      <c r="L57" t="inlineStr">
        <is>
          <t>Nee</t>
        </is>
      </c>
      <c r="M57" t="inlineStr">
        <is>
          <t>1 dag</t>
        </is>
      </c>
      <c r="N57" t="inlineStr">
        <is>
          <t>Schatting Claude, NL marktprijzen 2026</t>
        </is>
      </c>
      <c r="O57" t="inlineStr">
        <is>
          <t>schatting</t>
        </is>
      </c>
      <c r="P57" t="inlineStr">
        <is>
          <t>2026-10-02</t>
        </is>
      </c>
    </row>
    <row r="58"/>
    <row r="59">
      <c r="D59" t="inlineStr">
        <is>
          <t>Aantal maatregelen in catalogus</t>
        </is>
      </c>
      <c r="E59">
        <f>COUNTA(A5:A57)</f>
        <v/>
      </c>
      <c r="F59">
        <f>COUNTIF(O5:O57,"bevestigd")&amp;" van "&amp;COUNTA(A5:A57)&amp;" bevestigd"</f>
        <v/>
      </c>
    </row>
    <row r="60"/>
    <row r="61">
      <c r="D61" t="inlineStr">
        <is>
          <t>Alle bedragen zijn schattingen van Claude (NL marktprijzen 2026, incl. btw en arbeid) — geen offertes. Vervang ze door eigen cijfers en zet de status om.</t>
        </is>
      </c>
    </row>
  </sheetData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2026-08-19T10:28:46Z</dcterms:created>
  <dcterms:modified xmlns:dcterms="http://purl.org/dc/terms/" xmlns:xsi="http://www.w3.org/2001/XMLSchema-instance" xsi:type="dcterms:W3CDTF">2026-10-02T15:49:51Z</dcterms:modified>
  <cp:revision>0</cp:revision>
</cp:coreProperties>
</file>