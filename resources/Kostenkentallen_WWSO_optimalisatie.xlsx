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oelichting" sheetId="1" r:id="rId1"/>
    <sheet name="Aannames" sheetId="2" r:id="rId2"/>
    <sheet name="Maatregelen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6">
    <numFmt numFmtId="56" formatCode="&quot;上午/下午 &quot;hh&quot;時&quot;mm&quot;分&quot;ss&quot;秒 &quot;"/>
    <numFmt numFmtId="164" formatCode="General"/>
    <numFmt numFmtId="165" formatCode="0.00"/>
    <numFmt numFmtId="166" formatCode="0.0%"/>
    <numFmt numFmtId="167" formatCode="0"/>
    <numFmt numFmtId="168" formatCode="\€#,##0;&quot;(€&quot;#,##0\);\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dimension ref="A1:A36"/>
  <sheetViews>
    <sheetView workbookViewId="0" rightToLeft="0"/>
  </sheetViews>
  <cols>
    <col min="1" max="1" customWidth="1" width="110" level="0" outlineLevel="0"/>
  </cols>
  <sheetData>
    <row r="1" ht="15" customHeight="1">
      <c r="A1" s="1" t="str">
        <v>Kostenkentallen WWSO-optimalisatie — maatregelencatalogus</v>
      </c>
    </row>
    <row r="2" ht="15" customHeight="1">
      <c r="A2" s="1" t="str">
        <v>Versie 0.1 — 19 augustus 2026 — startversie met schattingen, bedoeld om door te ontwikkelen</v>
      </c>
    </row>
    <row r="4" ht="15" customHeight="1">
      <c r="A4" s="1" t="str">
        <v>Waarvoor is dit bestand</v>
      </c>
    </row>
    <row r="5" ht="15" customHeight="1">
      <c r="A5" s="1" t="str">
        <v>Deze catalogus voedt de suggestie-engine van de WWSO-scenariotool. Per maatregel staat wat het kost</v>
      </c>
    </row>
    <row r="6" ht="15" customHeight="1">
      <c r="A6" s="1" t="str">
        <v>en welk effect het heeft op de puntentelling. De engine combineert maatregelen tot pakketten en</v>
      </c>
    </row>
    <row r="7" ht="15" customHeight="1">
      <c r="A7" s="1" t="str">
        <v>rangschikt die op terugverdientijd (investering ÷ extra jaarhuur).</v>
      </c>
    </row>
    <row r="9" ht="15" customHeight="1">
      <c r="A9" s="1" t="str">
        <v>Belangrijk: alle bedragen in kolom F t/m H zijn SCHATTINGEN van Claude</v>
      </c>
    </row>
    <row r="10" ht="15" customHeight="1">
      <c r="A10" s="1" t="str">
        <v>Het zijn indicatieve Nederlandse marktprijzen 2026, inclusief btw en inclusief arbeid, bedoeld als</v>
      </c>
    </row>
    <row r="11" ht="15" customHeight="1">
      <c r="A11" s="1" t="str">
        <v>startwaarde. Ze zijn NIET gebaseerd op offertes of op jullie eigen realisaties. Vervang ze zodra je</v>
      </c>
    </row>
    <row r="12" ht="15" customHeight="1">
      <c r="A12" s="1" t="str">
        <v>echte cijfers hebt en zet kolom O op 'bevestigd'. Zolang een regel op 'schatting' staat toont de app</v>
      </c>
    </row>
    <row r="13" ht="15" customHeight="1">
      <c r="A13" s="1" t="str">
        <v>de uitkomst als bandbreedte, niet als bedrag.</v>
      </c>
    </row>
    <row r="15" ht="15" customHeight="1">
      <c r="A15" s="1" t="str">
        <v>Wat jullie invullen / bijwerken</v>
      </c>
    </row>
    <row r="16" ht="15" customHeight="1">
      <c r="A16" s="1" t="str">
        <v>Geel gemarkeerde kolommen op de tab Maatregelen zijn van jullie:</v>
      </c>
    </row>
    <row r="17" ht="15" customHeight="1">
      <c r="A17" s="1" t="str">
        <v xml:space="preserve">   F  Kosten min (€)              — laagste realistische prijs</v>
      </c>
    </row>
    <row r="18" ht="15" customHeight="1">
      <c r="A18" s="1" t="str">
        <v xml:space="preserve">   G  Kosten verwacht (€)         — waarmee de engine rekent</v>
      </c>
    </row>
    <row r="19" ht="15" customHeight="1">
      <c r="A19" s="1" t="str">
        <v xml:space="preserve">   H  Kosten max (€)              — hoogste realistische prijs</v>
      </c>
    </row>
    <row r="20" ht="15" customHeight="1">
      <c r="A20" s="1" t="str">
        <v xml:space="preserve">   N  Bron                        — offerte, factuur, aannemer, eigen realisatie</v>
      </c>
    </row>
    <row r="21" ht="15" customHeight="1">
      <c r="A21" s="1" t="str">
        <v xml:space="preserve">   O  Status                      — schatting / offerte / bevestigd</v>
      </c>
    </row>
    <row r="22" ht="15" customHeight="1">
      <c r="A22" s="1" t="str">
        <v xml:space="preserve">   P  Laatst bijgewerkt           — datum</v>
      </c>
    </row>
    <row r="23" ht="15" customHeight="1">
      <c r="A23" s="1" t="str">
        <v>Kolom I rekent zichzelf uit (verwacht × regio-index) — niet overschrijven.</v>
      </c>
    </row>
    <row r="24" ht="15" customHeight="1">
      <c r="A24" s="1" t="str">
        <v>Nieuwe maatregel? Regel eronder toevoegen, id doorlopend nummeren binnen de rubriek.</v>
      </c>
    </row>
    <row r="26" ht="15" customHeight="1">
      <c r="A26" s="1" t="str">
        <v>Kleurcodering</v>
      </c>
    </row>
    <row r="27" ht="15" customHeight="1">
      <c r="A27" s="1" t="str">
        <v>Blauw = handmatig ingevulde waarde   ·   Zwart = formule   ·   Groen = verwijzing naar andere tab</v>
      </c>
    </row>
    <row r="29" ht="15" customHeight="1">
      <c r="A29" s="1" t="str">
        <v>Rubrieken (verwijzen naar het beleidsboek WWSO, tab Berekening van wwso.xlsx)</v>
      </c>
    </row>
    <row r="30" ht="15" customHeight="1">
      <c r="A30" s="1" t="str">
        <v>R1/R2 oppervlakte · R3 verwarming · R4 energieprestatie · R5 keuken · R6 sanitair · R8 buitenruimte</v>
      </c>
    </row>
    <row r="31" ht="15" customHeight="1">
      <c r="A31" s="1" t="str">
        <v>R10 parkeren · R12 bijzondere voorzieningen · R13 aftrekpunten · PROC = proces- en bijkomende kosten</v>
      </c>
    </row>
    <row r="33" ht="15" customHeight="1">
      <c r="A33" s="1" t="str">
        <v>Let op bij het gebruik van de puntenindicatie (kolom K)</v>
      </c>
    </row>
    <row r="34" ht="15" customHeight="1">
      <c r="A34" s="1" t="str">
        <v>De puntenwinst in kolom K is een vuistregel voor sortering, geen berekening. De echte puntenwinst</v>
      </c>
    </row>
    <row r="35" ht="15" customHeight="1">
      <c r="A35" s="1" t="str">
        <v>volgt altijd uit het doorrekenen van het scenario in de engine — gedeelde voorzieningen worden immers</v>
      </c>
    </row>
    <row r="36" ht="15" customHeight="1">
      <c r="A36" s="1" t="str">
        <v>gedeeld door het aantal kamers met toegang, dus dezelfde maatregel levert per pand iets anders op.</v>
      </c>
    </row>
  </sheetData>
  <pageMargins left="0.75" right="0.75" top="1" bottom="1" header="0.511811023622047" footer="0.511811023622047"/>
  <ignoredErrors>
    <ignoredError numberStoredAsText="1" sqref="A1:A3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/>
  </sheetViews>
  <cols>
    <col min="1" max="1" customWidth="1" width="32" level="0" outlineLevel="0"/>
    <col min="2" max="2" customWidth="1" width="12" level="0" outlineLevel="0"/>
    <col min="3" max="3" customWidth="1" width="10" level="0" outlineLevel="0"/>
    <col min="4" max="4" customWidth="1" width="95" level="0" outlineLevel="0"/>
  </cols>
  <sheetData>
    <row r="1" ht="15" customHeight="1">
      <c r="A1" s="1" t="str">
        <v>Aannames en kengetallen</v>
      </c>
    </row>
    <row r="3" ht="15" customHeight="1">
      <c r="A3" s="1" t="str">
        <v>Parameter</v>
      </c>
      <c r="B3" s="1" t="str">
        <v>Waarde</v>
      </c>
      <c r="C3" s="1" t="str">
        <v>Eenheid</v>
      </c>
      <c r="D3" s="1" t="str">
        <v>Toelichting</v>
      </c>
    </row>
    <row r="4" ht="15" customHeight="1">
      <c r="A4" s="1" t="str">
        <v>Regio-index</v>
      </c>
      <c r="B4" s="2">
        <v>1</v>
      </c>
      <c r="C4" s="1" t="str">
        <v>factor</v>
      </c>
      <c r="D4" s="1" t="str">
        <v>1,00 = landelijk gemiddelde. Randstad/Rotterdam ligt in de praktijk 1,00-1,10. Kolom I van Maatregelen rekent hiermee.</v>
      </c>
    </row>
    <row r="5" ht="15" customHeight="1">
      <c r="A5" s="1" t="str">
        <v>Btw-tarief bouw (regulier)</v>
      </c>
      <c r="B5" s="3">
        <v>0.21</v>
      </c>
      <c r="C5" s="1" t="str">
        <v>%</v>
      </c>
      <c r="D5" s="1" t="str">
        <v>Alle bedragen in deze catalogus zijn INCLUSIEF btw.</v>
      </c>
    </row>
    <row r="6" ht="15" customHeight="1">
      <c r="A6" s="1" t="str">
        <v>Btw-tarief renovatie arbeid</v>
      </c>
      <c r="B6" s="3">
        <v>0.09</v>
      </c>
      <c r="C6" s="1" t="str">
        <v>%</v>
      </c>
      <c r="D6" s="1" t="str">
        <v>Verlaagd tarief voor arbeid bij woningen ouder dan 2 jaar; door aannemers wisselend toegepast. Controleer per offerte.</v>
      </c>
    </row>
    <row r="7" ht="15" customHeight="1">
      <c r="A7" s="1" t="str">
        <v>Prijspeil</v>
      </c>
      <c r="B7" s="4">
        <v>2026</v>
      </c>
      <c r="C7" s="1" t="str">
        <v>jaar</v>
      </c>
      <c r="D7" s="1" t="str">
        <v>Startversie augustus 2026. Werk de bedragen jaarlijks bij of indexeer met onderstaande factor.</v>
      </c>
    </row>
    <row r="8" ht="15" customHeight="1">
      <c r="A8" s="1" t="str">
        <v>Indexatie bouwkosten p/j</v>
      </c>
      <c r="B8" s="3">
        <v>0.03</v>
      </c>
      <c r="C8" s="1" t="str">
        <v>%</v>
      </c>
      <c r="D8" s="1" t="str">
        <v>Vuistregel voor het bijwerken van niet-bevestigde regels.</v>
      </c>
    </row>
    <row r="9" ht="15" customHeight="1">
      <c r="A9" s="1" t="str">
        <v>Standaard plafondhoogte</v>
      </c>
      <c r="B9" s="2">
        <v>2.6</v>
      </c>
      <c r="C9" s="1" t="str">
        <v>m</v>
      </c>
      <c r="D9" s="1" t="str">
        <v>Gebruikt om wandprijzen per m¹ af te leiden uit prijzen per m².</v>
      </c>
    </row>
    <row r="10" ht="15" customHeight="1">
      <c r="A10" s="1" t="str">
        <v>Huurderving per kamer p/mnd</v>
      </c>
      <c r="B10" s="5">
        <v>550</v>
      </c>
      <c r="C10" s="1" t="str">
        <v>€</v>
      </c>
      <c r="D10" s="1" t="str">
        <v>Gemiste huur tijdens verbouwing. Meenemen in de investeringskant van een scenario.</v>
      </c>
    </row>
    <row r="13" ht="15" customHeight="1">
      <c r="A13" s="1" t="str">
        <v>Bron van de startwaarden: inschatting Claude op basis van Nederlandse marktprijzen 2026. Geen offertes. Vervangen door eigen cijfers.</v>
      </c>
    </row>
  </sheetData>
  <pageMargins left="0.75" right="0.75" top="1" bottom="1" header="0.511811023622047" footer="0.511811023622047"/>
  <ignoredErrors>
    <ignoredError numberStoredAsText="1" sqref="A1:D1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P58"/>
  <sheetViews>
    <sheetView workbookViewId="0" rightToLeft="0"/>
  </sheetViews>
  <cols>
    <col min="1" max="1" customWidth="1" width="8" level="0" outlineLevel="0"/>
    <col min="2" max="2" customWidth="1" width="9" level="0" outlineLevel="0"/>
    <col min="3" max="3" customWidth="1" width="20" level="0" outlineLevel="0"/>
    <col min="4" max="4" customWidth="1" width="52" level="0" outlineLevel="0"/>
    <col min="5" max="5" customWidth="1" width="22" level="0" outlineLevel="0"/>
    <col min="6" max="6" customWidth="1" width="14" level="0" outlineLevel="0"/>
    <col min="7" max="7" customWidth="1" width="17" level="0" outlineLevel="0"/>
    <col min="8" max="8" customWidth="1" width="14" level="0" outlineLevel="0"/>
    <col min="9" max="9" customWidth="1" width="17" level="0" outlineLevel="0"/>
    <col min="10" max="10" customWidth="1" width="62" level="0" outlineLevel="0"/>
    <col min="11" max="11" customWidth="1" width="30" level="0" outlineLevel="0"/>
    <col min="12" max="12" customWidth="1" width="26" level="0" outlineLevel="0"/>
    <col min="13" max="13" customWidth="1" width="14" level="0" outlineLevel="0"/>
    <col min="14" max="14" customWidth="1" width="30" level="0" outlineLevel="0"/>
    <col min="15" max="15" customWidth="1" width="12" level="0" outlineLevel="0"/>
    <col min="16" max="16" customWidth="1" width="16" level="0" outlineLevel="0"/>
  </cols>
  <sheetData>
    <row r="1" ht="15" customHeight="1">
      <c r="A1" s="1" t="str">
        <v>Maatregelencatalogus — kosten en puntenimpact</v>
      </c>
    </row>
    <row r="2" ht="15" customHeight="1">
      <c r="A2" s="1" t="str">
        <v>Geel = door jullie in te vullen. Kolom I is een formule. Kolom K is een vuistregel, geen berekening.</v>
      </c>
    </row>
    <row r="4" ht="30" customHeight="1">
      <c r="A4" s="1" t="str">
        <v>id</v>
      </c>
      <c r="B4" s="1" t="str">
        <v>Rubriek</v>
      </c>
      <c r="C4" s="1" t="str">
        <v>Categorie</v>
      </c>
      <c r="D4" s="1" t="str">
        <v>Maatregel</v>
      </c>
      <c r="E4" s="1" t="str">
        <v>Eenheid</v>
      </c>
      <c r="F4" s="1" t="str">
        <v>Kosten min (€)</v>
      </c>
      <c r="G4" s="1" t="str">
        <v>Kosten verwacht (€)</v>
      </c>
      <c r="H4" s="1" t="str">
        <v>Kosten max (€)</v>
      </c>
      <c r="I4" s="1" t="str">
        <v>Verwacht × regio (€)</v>
      </c>
      <c r="J4" s="1" t="str">
        <v>Effect op puntentelling</v>
      </c>
      <c r="K4" s="1" t="str">
        <v>Punten-indicatie</v>
      </c>
      <c r="L4" s="1" t="str">
        <v>Vergunning / melding</v>
      </c>
      <c r="M4" s="1" t="str">
        <v>Doorlooptijd</v>
      </c>
      <c r="N4" s="1" t="str">
        <v>Bron</v>
      </c>
      <c r="O4" s="1" t="str">
        <v>Status</v>
      </c>
      <c r="P4" s="1" t="str">
        <v>Laatst bijgewerkt</v>
      </c>
    </row>
    <row r="5" ht="35.05" customHeight="1">
      <c r="A5" s="1" t="str">
        <v>K-01</v>
      </c>
      <c r="B5" s="1" t="str">
        <v>R5</v>
      </c>
      <c r="C5" s="1" t="str">
        <v>Keuken</v>
      </c>
      <c r="D5" s="1" t="str">
        <v>Kitchenette/keukenblok 122 cm per kamer (spoelbak+kraan, inductieplaat, afzuigkap, 2x boven-/onderkast, 2x stopcontact) incl. plaatsing</v>
      </c>
      <c r="E5" s="1" t="str">
        <v>per kamer</v>
      </c>
      <c r="F5" s="5">
        <v>2485</v>
      </c>
      <c r="G5" s="5">
        <v>2485</v>
      </c>
      <c r="H5" s="5">
        <v>2485</v>
      </c>
      <c r="I5" s="5">
        <f>G5*Aannames!$B$4</f>
        <v>1900</v>
      </c>
      <c r="J5" s="1" t="str">
        <v>Verschuift keukenpunten van gedeeld naar privé: de kamer deelt de keukenpunten niet meer door het aantal kamers met toegang. Aanrechtlengte 122 cm.</v>
      </c>
      <c r="K5" s="1" t="str">
        <v>8 pt (aanrecht 122 cm)</v>
      </c>
      <c r="L5" s="1" t="str">
        <v>Nee (wel bouwbesluit/ventilatie)</v>
      </c>
      <c r="M5" s="1" t="str">
        <v>1-2 weken</v>
      </c>
      <c r="N5" s="1" t="str">
        <v>Offerte leverancier, keukenblok 122cm/8pt (resources/Kosten per keukenblok.xlsx), 2026-08-26</v>
      </c>
      <c r="O5" s="1" t="str">
        <v>offerte</v>
      </c>
      <c r="P5" s="1" t="str">
        <v>2026-08-26</v>
      </c>
    </row>
    <row r="6" ht="23.850000000000005" customHeight="1">
      <c r="A6" s="1" t="str">
        <v>K-02</v>
      </c>
      <c r="B6" s="1" t="str">
        <v>R5</v>
      </c>
      <c r="C6" s="1" t="str">
        <v>Keuken</v>
      </c>
      <c r="D6" s="1" t="str">
        <v>Water- en afvoeraansluiting + elektragroep naar kamer trekken (t.b.v. kitchenette)</v>
      </c>
      <c r="E6" s="1" t="str">
        <v>per kamer</v>
      </c>
      <c r="F6" s="5">
        <v>1761.5</v>
      </c>
      <c r="G6" s="5">
        <v>1761.5</v>
      </c>
      <c r="H6" s="5">
        <v>1761.5</v>
      </c>
      <c r="I6" s="5">
        <f>G6*Aannames!$B$4</f>
        <v>1100</v>
      </c>
      <c r="J6" s="1" t="str">
        <v>Randvoorwaarde voor K-01, geen zelfstandige puntenwinst.</v>
      </c>
      <c r="K6" s="1" t="str">
        <v>0 (enabler)</v>
      </c>
      <c r="L6" s="1" t="str">
        <v>Nee</v>
      </c>
      <c r="M6" s="1" t="str">
        <v>1 week</v>
      </c>
      <c r="N6" s="1" t="str">
        <v>Offerte leverancier, keukenblok 122/240cm (resources/Kosten per keukenblok.xlsx), 2026-08-26</v>
      </c>
      <c r="O6" s="1" t="str">
        <v>offerte</v>
      </c>
      <c r="P6" s="1" t="str">
        <v>2026-08-26</v>
      </c>
    </row>
    <row r="7" ht="23.850000000000005" customHeight="1">
      <c r="A7" s="1" t="str">
        <v>K-03</v>
      </c>
      <c r="B7" s="1" t="str">
        <v>R5</v>
      </c>
      <c r="C7" s="1" t="str">
        <v>Keuken</v>
      </c>
      <c r="D7" s="1" t="str">
        <v>Aanrechtblad verlengen naar &gt;1 m of &gt;2 m (drempelwaarde basispunten)</v>
      </c>
      <c r="E7" s="1" t="str">
        <v>per keuken</v>
      </c>
      <c r="F7" s="5">
        <v>400</v>
      </c>
      <c r="G7" s="5">
        <v>750</v>
      </c>
      <c r="H7" s="5">
        <v>1400</v>
      </c>
      <c r="I7" s="5">
        <f>G7*Aannames!$B$4</f>
        <v>750</v>
      </c>
      <c r="J7" s="1" t="str">
        <v>Basispunten keuken lopen op met de aanrechtlengte; net over een drempel komen kan meerdere punten schelen.</v>
      </c>
      <c r="K7" s="1" t="str">
        <v>Drempelafhankelijk</v>
      </c>
      <c r="L7" s="1" t="str">
        <v>Nee</v>
      </c>
      <c r="M7" s="1" t="str">
        <v>2-4 dagen</v>
      </c>
      <c r="N7" s="1" t="str">
        <v>Schatting Claude, NL marktprijzen 2026</v>
      </c>
      <c r="O7" s="1" t="str">
        <v>schatting</v>
      </c>
      <c r="P7" s="1" t="str">
        <v>2026-08-19</v>
      </c>
    </row>
    <row r="8" ht="23.850000000000005" customHeight="1">
      <c r="A8" s="1" t="str">
        <v>K-04</v>
      </c>
      <c r="B8" s="1" t="str">
        <v>R5</v>
      </c>
      <c r="C8" s="1" t="str">
        <v>Keuken</v>
      </c>
      <c r="D8" s="1" t="str">
        <v>Inbouwkoelkast plaatsen</v>
      </c>
      <c r="E8" s="1" t="str">
        <v>per stuk</v>
      </c>
      <c r="F8" s="5">
        <v>400</v>
      </c>
      <c r="G8" s="5">
        <v>550</v>
      </c>
      <c r="H8" s="5">
        <v>800</v>
      </c>
      <c r="I8" s="5">
        <f>G8*Aannames!$B$4</f>
        <v>550</v>
      </c>
      <c r="J8" s="1" t="str">
        <v>Extra keukenvoorziening; totaal extra keukenpunten is gecapt op de basispunten.</v>
      </c>
      <c r="K8" s="1" t="str">
        <v>Gecapt op basispunten</v>
      </c>
      <c r="L8" s="1" t="str">
        <v>Nee</v>
      </c>
      <c r="M8" s="1" t="str">
        <v>1 dag</v>
      </c>
      <c r="N8" s="1" t="str">
        <v>Schatting Claude, NL marktprijzen 2026</v>
      </c>
      <c r="O8" s="1" t="str">
        <v>schatting</v>
      </c>
      <c r="P8" s="1" t="str">
        <v>2026-08-19</v>
      </c>
    </row>
    <row r="9" ht="23.850000000000005" customHeight="1">
      <c r="A9" s="1" t="str">
        <v>K-05</v>
      </c>
      <c r="B9" s="1" t="str">
        <v>R5</v>
      </c>
      <c r="C9" s="1" t="str">
        <v>Keuken</v>
      </c>
      <c r="D9" s="1" t="str">
        <v>Inductiekookplaat 4-pits vervangen/plaatsen</v>
      </c>
      <c r="E9" s="1" t="str">
        <v>per stuk</v>
      </c>
      <c r="F9" s="5">
        <v>300</v>
      </c>
      <c r="G9" s="5">
        <v>500</v>
      </c>
      <c r="H9" s="5">
        <v>900</v>
      </c>
      <c r="I9" s="5">
        <f>G9*Aannames!$B$4</f>
        <v>500</v>
      </c>
      <c r="J9" s="1" t="str">
        <v>Extra keukenvoorziening.</v>
      </c>
      <c r="K9" s="1" t="str">
        <v>Gecapt op basispunten</v>
      </c>
      <c r="L9" s="1" t="str">
        <v>Nee</v>
      </c>
      <c r="M9" s="1" t="str">
        <v>1 dag</v>
      </c>
      <c r="N9" s="1" t="str">
        <v>Schatting Claude, NL marktprijzen 2026</v>
      </c>
      <c r="O9" s="1" t="str">
        <v>schatting</v>
      </c>
      <c r="P9" s="1" t="str">
        <v>2026-08-19</v>
      </c>
    </row>
    <row r="10" ht="23.850000000000005" customHeight="1">
      <c r="A10" s="1" t="str">
        <v>K-06</v>
      </c>
      <c r="B10" s="1" t="str">
        <v>R5</v>
      </c>
      <c r="C10" s="1" t="str">
        <v>Keuken</v>
      </c>
      <c r="D10" s="1" t="str">
        <v>Afzuigkap met afvoer naar buiten</v>
      </c>
      <c r="E10" s="1" t="str">
        <v>per stuk</v>
      </c>
      <c r="F10" s="5">
        <v>250</v>
      </c>
      <c r="G10" s="5">
        <v>450</v>
      </c>
      <c r="H10" s="5">
        <v>900</v>
      </c>
      <c r="I10" s="5">
        <f>G10*Aannames!$B$4</f>
        <v>450</v>
      </c>
      <c r="J10" s="1" t="str">
        <v>Extra keukenvoorziening.</v>
      </c>
      <c r="K10" s="1" t="str">
        <v>Gecapt op basispunten</v>
      </c>
      <c r="L10" s="1" t="str">
        <v>Nee</v>
      </c>
      <c r="M10" s="1" t="str">
        <v>1 dag</v>
      </c>
      <c r="N10" s="1" t="str">
        <v>Schatting Claude, NL marktprijzen 2026</v>
      </c>
      <c r="O10" s="1" t="str">
        <v>schatting</v>
      </c>
      <c r="P10" s="1" t="str">
        <v>2026-08-19</v>
      </c>
    </row>
    <row r="11" ht="23.850000000000005" customHeight="1">
      <c r="A11" s="1" t="str">
        <v>K-07</v>
      </c>
      <c r="B11" s="1" t="str">
        <v>R5</v>
      </c>
      <c r="C11" s="1" t="str">
        <v>Keuken</v>
      </c>
      <c r="D11" s="1" t="str">
        <v>Combimagnetron of oven inbouwen</v>
      </c>
      <c r="E11" s="1" t="str">
        <v>per stuk</v>
      </c>
      <c r="F11" s="5">
        <v>300</v>
      </c>
      <c r="G11" s="5">
        <v>500</v>
      </c>
      <c r="H11" s="5">
        <v>900</v>
      </c>
      <c r="I11" s="5">
        <f>G11*Aannames!$B$4</f>
        <v>500</v>
      </c>
      <c r="J11" s="1" t="str">
        <v>Extra keukenvoorziening.</v>
      </c>
      <c r="K11" s="1" t="str">
        <v>Gecapt op basispunten</v>
      </c>
      <c r="L11" s="1" t="str">
        <v>Nee</v>
      </c>
      <c r="M11" s="1" t="str">
        <v>1 dag</v>
      </c>
      <c r="N11" s="1" t="str">
        <v>Schatting Claude, NL marktprijzen 2026</v>
      </c>
      <c r="O11" s="1" t="str">
        <v>schatting</v>
      </c>
      <c r="P11" s="1" t="str">
        <v>2026-08-19</v>
      </c>
    </row>
    <row r="12" ht="23.850000000000005" customHeight="1">
      <c r="A12" s="1" t="str">
        <v>K-08</v>
      </c>
      <c r="B12" s="1" t="str">
        <v>R5</v>
      </c>
      <c r="C12" s="1" t="str">
        <v>Keuken</v>
      </c>
      <c r="D12" s="1" t="str">
        <v>Vaatwasser inbouwen incl. aansluiting</v>
      </c>
      <c r="E12" s="1" t="str">
        <v>per stuk</v>
      </c>
      <c r="F12" s="5">
        <v>550</v>
      </c>
      <c r="G12" s="5">
        <v>850</v>
      </c>
      <c r="H12" s="5">
        <v>1400</v>
      </c>
      <c r="I12" s="5">
        <f>G12*Aannames!$B$4</f>
        <v>850</v>
      </c>
      <c r="J12" s="1" t="str">
        <v>Extra keukenvoorziening.</v>
      </c>
      <c r="K12" s="1" t="str">
        <v>Gecapt op basispunten</v>
      </c>
      <c r="L12" s="1" t="str">
        <v>Nee</v>
      </c>
      <c r="M12" s="1" t="str">
        <v>1 dag</v>
      </c>
      <c r="N12" s="1" t="str">
        <v>Schatting Claude, NL marktprijzen 2026</v>
      </c>
      <c r="O12" s="1" t="str">
        <v>schatting</v>
      </c>
      <c r="P12" s="1" t="str">
        <v>2026-08-19</v>
      </c>
    </row>
    <row r="13" ht="23.850000000000005" customHeight="1">
      <c r="A13" s="1" t="str">
        <v>S-01</v>
      </c>
      <c r="B13" s="1" t="str">
        <v>R6</v>
      </c>
      <c r="C13" s="1" t="str">
        <v>Sanitair</v>
      </c>
      <c r="D13" s="1" t="str">
        <v>Wastafel met wastafelkast op de kamer, incl. water- en afvoeraansluiting</v>
      </c>
      <c r="E13" s="1" t="str">
        <v>per kamer</v>
      </c>
      <c r="F13" s="5">
        <v>800</v>
      </c>
      <c r="G13" s="5">
        <v>1300</v>
      </c>
      <c r="H13" s="5">
        <v>2400</v>
      </c>
      <c r="I13" s="5">
        <f>G13*Aannames!$B$4</f>
        <v>1300</v>
      </c>
      <c r="J13" s="1" t="str">
        <v>Sanitaire punten voor de wastafel worden privé i.p.v. gedeeld door het aantal kamers met toegang.</v>
      </c>
      <c r="K13" s="1" t="str">
        <v>Direct effect per kamer</v>
      </c>
      <c r="L13" s="1" t="str">
        <v>Nee</v>
      </c>
      <c r="M13" s="1" t="str">
        <v>3-5 dagen</v>
      </c>
      <c r="N13" s="1" t="str">
        <v>Schatting Claude, NL marktprijzen 2026</v>
      </c>
      <c r="O13" s="1" t="str">
        <v>schatting</v>
      </c>
      <c r="P13" s="1" t="str">
        <v>2026-08-19</v>
      </c>
    </row>
    <row r="14" ht="23.850000000000005" customHeight="1">
      <c r="A14" s="1" t="str">
        <v>S-02</v>
      </c>
      <c r="B14" s="1" t="str">
        <v>R6</v>
      </c>
      <c r="C14" s="1" t="str">
        <v>Sanitair</v>
      </c>
      <c r="D14" s="1" t="str">
        <v>Tweede toilet plaatsen (incl. riool, ventilatie, wandje)</v>
      </c>
      <c r="E14" s="1" t="str">
        <v>per stuk</v>
      </c>
      <c r="F14" s="5">
        <v>2500</v>
      </c>
      <c r="G14" s="5">
        <v>4200</v>
      </c>
      <c r="H14" s="5">
        <v>7000</v>
      </c>
      <c r="I14" s="5">
        <f>G14*Aannames!$B$4</f>
        <v>4200</v>
      </c>
      <c r="J14" s="1" t="str">
        <v>Minder deling van de toiletpunten over kamers.</v>
      </c>
      <c r="K14" s="1" t="str">
        <v>Schaalt met aantal kamers</v>
      </c>
      <c r="L14" s="1" t="str">
        <v>Soms melding</v>
      </c>
      <c r="M14" s="1" t="str">
        <v>2-3 weken</v>
      </c>
      <c r="N14" s="1" t="str">
        <v>Schatting Claude, NL marktprijzen 2026</v>
      </c>
      <c r="O14" s="1" t="str">
        <v>schatting</v>
      </c>
      <c r="P14" s="1" t="str">
        <v>2026-08-19</v>
      </c>
    </row>
    <row r="15" ht="23.850000000000005" customHeight="1">
      <c r="A15" s="1" t="str">
        <v>S-03</v>
      </c>
      <c r="B15" s="1" t="str">
        <v>R6</v>
      </c>
      <c r="C15" s="1" t="str">
        <v>Sanitair</v>
      </c>
      <c r="D15" s="1" t="str">
        <v>Extra douche / tweede badkamer realiseren</v>
      </c>
      <c r="E15" s="1" t="str">
        <v>per stuk</v>
      </c>
      <c r="F15" s="5">
        <v>6000</v>
      </c>
      <c r="G15" s="5">
        <v>9500</v>
      </c>
      <c r="H15" s="5">
        <v>16000</v>
      </c>
      <c r="I15" s="5">
        <f>G15*Aannames!$B$4</f>
        <v>9500</v>
      </c>
      <c r="J15" s="1" t="str">
        <v>Douche-/badpunten over minder kamers verdeeld; ook basis voor extra sanitaire punten.</v>
      </c>
      <c r="K15" s="1" t="str">
        <v>Grootste sanitaire sprong</v>
      </c>
      <c r="L15" s="1" t="str">
        <v>Vaak melding</v>
      </c>
      <c r="M15" s="1" t="str">
        <v>3-5 weken</v>
      </c>
      <c r="N15" s="1" t="str">
        <v>Schatting Claude, NL marktprijzen 2026</v>
      </c>
      <c r="O15" s="1" t="str">
        <v>schatting</v>
      </c>
      <c r="P15" s="1" t="str">
        <v>2026-08-19</v>
      </c>
    </row>
    <row r="16" ht="23.850000000000005" customHeight="1">
      <c r="A16" s="1" t="str">
        <v>S-04</v>
      </c>
      <c r="B16" s="1" t="str">
        <v>R6</v>
      </c>
      <c r="C16" s="1" t="str">
        <v>Sanitair</v>
      </c>
      <c r="D16" s="1" t="str">
        <v>Thermostatische douchekraan plaatsen</v>
      </c>
      <c r="E16" s="1" t="str">
        <v>per stuk</v>
      </c>
      <c r="F16" s="5">
        <v>250</v>
      </c>
      <c r="G16" s="5">
        <v>400</v>
      </c>
      <c r="H16" s="5">
        <v>700</v>
      </c>
      <c r="I16" s="5">
        <f>G16*Aannames!$B$4</f>
        <v>400</v>
      </c>
      <c r="J16" s="1" t="str">
        <v>Extra sanitaire voorziening; gecapt op de douche-/badpunten.</v>
      </c>
      <c r="K16" s="1" t="str">
        <v>Gecapt</v>
      </c>
      <c r="L16" s="1" t="str">
        <v>Nee</v>
      </c>
      <c r="M16" s="1" t="str">
        <v>1 dag</v>
      </c>
      <c r="N16" s="1" t="str">
        <v>Schatting Claude, NL marktprijzen 2026</v>
      </c>
      <c r="O16" s="1" t="str">
        <v>schatting</v>
      </c>
      <c r="P16" s="1" t="str">
        <v>2026-08-19</v>
      </c>
    </row>
    <row r="17" ht="23.850000000000005" customHeight="1">
      <c r="A17" s="1" t="str">
        <v>S-05</v>
      </c>
      <c r="B17" s="1" t="str">
        <v>R6</v>
      </c>
      <c r="C17" s="1" t="str">
        <v>Sanitair</v>
      </c>
      <c r="D17" s="1" t="str">
        <v>Handdoekradiator in badruimte</v>
      </c>
      <c r="E17" s="1" t="str">
        <v>per stuk</v>
      </c>
      <c r="F17" s="5">
        <v>300</v>
      </c>
      <c r="G17" s="5">
        <v>500</v>
      </c>
      <c r="H17" s="5">
        <v>900</v>
      </c>
      <c r="I17" s="5">
        <f>G17*Aannames!$B$4</f>
        <v>500</v>
      </c>
      <c r="J17" s="1" t="str">
        <v>Extra sanitaire voorziening.</v>
      </c>
      <c r="K17" s="1" t="str">
        <v>Gecapt</v>
      </c>
      <c r="L17" s="1" t="str">
        <v>Nee</v>
      </c>
      <c r="M17" s="1" t="str">
        <v>1 dag</v>
      </c>
      <c r="N17" s="1" t="str">
        <v>Schatting Claude, NL marktprijzen 2026</v>
      </c>
      <c r="O17" s="1" t="str">
        <v>schatting</v>
      </c>
      <c r="P17" s="1" t="str">
        <v>2026-08-19</v>
      </c>
    </row>
    <row r="18" ht="23.850000000000005" customHeight="1">
      <c r="A18" s="1" t="str">
        <v>S-06</v>
      </c>
      <c r="B18" s="1" t="str">
        <v>R6</v>
      </c>
      <c r="C18" s="1" t="str">
        <v>Sanitair</v>
      </c>
      <c r="D18" s="1" t="str">
        <v>Mechanische ventilatie badruimte aanbrengen/vervangen</v>
      </c>
      <c r="E18" s="1" t="str">
        <v>per stuk</v>
      </c>
      <c r="F18" s="5">
        <v>500</v>
      </c>
      <c r="G18" s="5">
        <v>900</v>
      </c>
      <c r="H18" s="5">
        <v>1600</v>
      </c>
      <c r="I18" s="5">
        <f>G18*Aannames!$B$4</f>
        <v>900</v>
      </c>
      <c r="J18" s="1" t="str">
        <v>Randvoorwaarde bouwbesluit bij extra natte ruimte.</v>
      </c>
      <c r="K18" s="1" t="str">
        <v>0 (enabler)</v>
      </c>
      <c r="L18" s="1" t="str">
        <v>Nee</v>
      </c>
      <c r="M18" s="1" t="str">
        <v>2-4 dagen</v>
      </c>
      <c r="N18" s="1" t="str">
        <v>Schatting Claude, NL marktprijzen 2026</v>
      </c>
      <c r="O18" s="1" t="str">
        <v>schatting</v>
      </c>
      <c r="P18" s="1" t="str">
        <v>2026-08-19</v>
      </c>
    </row>
    <row r="19" ht="23.850000000000005" customHeight="1">
      <c r="A19" s="1" t="str">
        <v>I-01</v>
      </c>
      <c r="B19" s="1" t="str">
        <v>R1</v>
      </c>
      <c r="C19" s="1" t="str">
        <v>Indeling</v>
      </c>
      <c r="D19" s="1" t="str">
        <v>Lichte scheidingswand plaatsen (metal stud, geïsoleerd, afgewerkt en geschilderd)</v>
      </c>
      <c r="E19" s="1" t="str">
        <v>per m¹ wand</v>
      </c>
      <c r="F19" s="5">
        <v>380</v>
      </c>
      <c r="G19" s="5">
        <v>600</v>
      </c>
      <c r="H19" s="5">
        <v>900</v>
      </c>
      <c r="I19" s="5">
        <f>G19*Aannames!$B$4</f>
        <v>600</v>
      </c>
      <c r="J19" s="1" t="str">
        <v>Maakt extra kamer mogelijk of splitst een te grote ruimte. Let op: elke kamer moet een privévertrek houden.</v>
      </c>
      <c r="K19" s="1" t="str">
        <v>Bepaalt aantal kamers</v>
      </c>
      <c r="L19" s="1" t="str">
        <v>Meestal melding</v>
      </c>
      <c r="M19" s="1" t="str">
        <v>1-2 weken</v>
      </c>
      <c r="N19" s="1" t="str">
        <v>Schatting Claude, NL marktprijzen 2026</v>
      </c>
      <c r="O19" s="1" t="str">
        <v>schatting</v>
      </c>
      <c r="P19" s="1" t="str">
        <v>2026-08-19</v>
      </c>
    </row>
    <row r="20" ht="23.850000000000005" customHeight="1">
      <c r="A20" s="1" t="str">
        <v>I-02</v>
      </c>
      <c r="B20" s="1" t="str">
        <v>R1</v>
      </c>
      <c r="C20" s="1" t="str">
        <v>Indeling</v>
      </c>
      <c r="D20" s="1" t="str">
        <v>Niet-dragende wand verwijderen incl. afwerking en afvoer puin</v>
      </c>
      <c r="E20" s="1" t="str">
        <v>per project</v>
      </c>
      <c r="F20" s="5">
        <v>800</v>
      </c>
      <c r="G20" s="5">
        <v>1600</v>
      </c>
      <c r="H20" s="5">
        <v>3000</v>
      </c>
      <c r="I20" s="5">
        <f>G20*Aannames!$B$4</f>
        <v>1600</v>
      </c>
      <c r="J20" s="1" t="str">
        <v>Vergroot een privévertrek; kan een aftrekpunt (&lt;8 m²) wegnemen.</v>
      </c>
      <c r="K20" s="1" t="str">
        <v>+1 pt per m² erbij</v>
      </c>
      <c r="L20" s="1" t="str">
        <v>Nee</v>
      </c>
      <c r="M20" s="1" t="str">
        <v>3-5 dagen</v>
      </c>
      <c r="N20" s="1" t="str">
        <v>Schatting Claude, NL marktprijzen 2026</v>
      </c>
      <c r="O20" s="1" t="str">
        <v>schatting</v>
      </c>
      <c r="P20" s="1" t="str">
        <v>2026-08-19</v>
      </c>
    </row>
    <row r="21" ht="23.850000000000005" customHeight="1">
      <c r="A21" s="1" t="str">
        <v>I-03</v>
      </c>
      <c r="B21" s="1" t="str">
        <v>R1</v>
      </c>
      <c r="C21" s="1" t="str">
        <v>Indeling</v>
      </c>
      <c r="D21" s="1" t="str">
        <v>Dragende wand verwijderen incl. stalen ligger en constructieberekening</v>
      </c>
      <c r="E21" s="1" t="str">
        <v>per project</v>
      </c>
      <c r="F21" s="5">
        <v>4000</v>
      </c>
      <c r="G21" s="5">
        <v>7500</v>
      </c>
      <c r="H21" s="5">
        <v>14000</v>
      </c>
      <c r="I21" s="5">
        <f>G21*Aannames!$B$4</f>
        <v>7500</v>
      </c>
      <c r="J21" s="1" t="str">
        <v>Zelfde als I-02, maar bij dragende constructie.</v>
      </c>
      <c r="K21" s="1" t="str">
        <v>+1 pt per m² erbij</v>
      </c>
      <c r="L21" s="1" t="str">
        <v>Ja (omgevingsvergunning)</v>
      </c>
      <c r="M21" s="1" t="str">
        <v>4-8 weken</v>
      </c>
      <c r="N21" s="1" t="str">
        <v>Schatting Claude, NL marktprijzen 2026</v>
      </c>
      <c r="O21" s="1" t="str">
        <v>schatting</v>
      </c>
      <c r="P21" s="1" t="str">
        <v>2026-08-19</v>
      </c>
    </row>
    <row r="22" ht="23.850000000000005" customHeight="1">
      <c r="A22" s="1" t="str">
        <v>I-04</v>
      </c>
      <c r="B22" s="1" t="str">
        <v>R1</v>
      </c>
      <c r="C22" s="1" t="str">
        <v>Indeling</v>
      </c>
      <c r="D22" s="1" t="str">
        <v>Vaste trap naar zolder plaatsen</v>
      </c>
      <c r="E22" s="1" t="str">
        <v>per stuk</v>
      </c>
      <c r="F22" s="5">
        <v>2500</v>
      </c>
      <c r="G22" s="5">
        <v>4200</v>
      </c>
      <c r="H22" s="5">
        <v>7500</v>
      </c>
      <c r="I22" s="5">
        <f>G22*Aannames!$B$4</f>
        <v>4200</v>
      </c>
      <c r="J22" s="1" t="str">
        <v>Zolder telt pas als vertrek bij een vaste trap en beschoten dak — kan een hele kamer toevoegen.</v>
      </c>
      <c r="K22" s="1" t="str">
        <v>Ontsluit hele kamer</v>
      </c>
      <c r="L22" s="1" t="str">
        <v>Soms melding</v>
      </c>
      <c r="M22" s="1" t="str">
        <v>1-2 weken</v>
      </c>
      <c r="N22" s="1" t="str">
        <v>Schatting Claude, NL marktprijzen 2026</v>
      </c>
      <c r="O22" s="1" t="str">
        <v>schatting</v>
      </c>
      <c r="P22" s="1" t="str">
        <v>2026-08-19</v>
      </c>
    </row>
    <row r="23" ht="23.850000000000005" customHeight="1">
      <c r="A23" s="1" t="str">
        <v>I-05</v>
      </c>
      <c r="B23" s="1" t="str">
        <v>R1</v>
      </c>
      <c r="C23" s="1" t="str">
        <v>Indeling</v>
      </c>
      <c r="D23" s="1" t="str">
        <v>Dakkapel plaatsen (2,5-3 m breed)</v>
      </c>
      <c r="E23" s="1" t="str">
        <v>per stuk</v>
      </c>
      <c r="F23" s="5">
        <v>7500</v>
      </c>
      <c r="G23" s="5">
        <v>11000</v>
      </c>
      <c r="H23" s="5">
        <v>16000</v>
      </c>
      <c r="I23" s="5">
        <f>G23*Aannames!$B$4</f>
        <v>11000</v>
      </c>
      <c r="J23" s="1" t="str">
        <v>Vergroot bruikbaar zolderoppervlak en lost hoogte-/raameisen op.</v>
      </c>
      <c r="K23" s="1" t="str">
        <v>Ontsluit m² + raam</v>
      </c>
      <c r="L23" s="1" t="str">
        <v>Ja (meestal)</v>
      </c>
      <c r="M23" s="1" t="str">
        <v>6-10 weken</v>
      </c>
      <c r="N23" s="1" t="str">
        <v>Schatting Claude, NL marktprijzen 2026</v>
      </c>
      <c r="O23" s="1" t="str">
        <v>schatting</v>
      </c>
      <c r="P23" s="1" t="str">
        <v>2026-08-19</v>
      </c>
    </row>
    <row r="24" ht="23.850000000000005" customHeight="1">
      <c r="A24" s="1" t="str">
        <v>I-06</v>
      </c>
      <c r="B24" s="1" t="str">
        <v>R2</v>
      </c>
      <c r="C24" s="1" t="str">
        <v>Indeling</v>
      </c>
      <c r="D24" s="1" t="str">
        <v>Berging of bijkeuken bruikbaar maken (isoleren, afwerken, verlichting)</v>
      </c>
      <c r="E24" s="1" t="str">
        <v>per project</v>
      </c>
      <c r="F24" s="5">
        <v>1000</v>
      </c>
      <c r="G24" s="5">
        <v>2200</v>
      </c>
      <c r="H24" s="5">
        <v>4000</v>
      </c>
      <c r="I24" s="5">
        <f>G24*Aannames!$B$4</f>
        <v>2200</v>
      </c>
      <c r="J24" s="1" t="str">
        <v>Overige ruimte telt voor 0,75 pt per m², gedeeld door kamers met toegang.</v>
      </c>
      <c r="K24" s="1" t="str">
        <v>0,75 pt per m²</v>
      </c>
      <c r="L24" s="1" t="str">
        <v>Nee</v>
      </c>
      <c r="M24" s="1" t="str">
        <v>1-2 weken</v>
      </c>
      <c r="N24" s="1" t="str">
        <v>Schatting Claude, NL marktprijzen 2026</v>
      </c>
      <c r="O24" s="1" t="str">
        <v>schatting</v>
      </c>
      <c r="P24" s="1" t="str">
        <v>2026-08-19</v>
      </c>
    </row>
    <row r="25" ht="23.850000000000005" customHeight="1">
      <c r="A25" s="1" t="str">
        <v>V-01</v>
      </c>
      <c r="B25" s="1" t="str">
        <v>R3</v>
      </c>
      <c r="C25" s="1" t="str">
        <v>Verwarming</v>
      </c>
      <c r="D25" s="1" t="str">
        <v>Radiator bijplaatsen incl. leidingwerk vanaf bestaande cv</v>
      </c>
      <c r="E25" s="1" t="str">
        <v>per kamer</v>
      </c>
      <c r="F25" s="5">
        <v>600</v>
      </c>
      <c r="G25" s="5">
        <v>950</v>
      </c>
      <c r="H25" s="5">
        <v>1700</v>
      </c>
      <c r="I25" s="5">
        <f>G25*Aannames!$B$4</f>
        <v>950</v>
      </c>
      <c r="J25" s="1" t="str">
        <v>2 pt voor een verwarmd privévertrek, keuken of badruimte; 1 pt (max 4) voor overige verwarmde ruimten.</v>
      </c>
      <c r="K25" s="1" t="str">
        <v>2 pt per vertrek</v>
      </c>
      <c r="L25" s="1" t="str">
        <v>Nee</v>
      </c>
      <c r="M25" s="1" t="str">
        <v>2-4 dagen</v>
      </c>
      <c r="N25" s="1" t="str">
        <v>Schatting Claude, NL marktprijzen 2026</v>
      </c>
      <c r="O25" s="1" t="str">
        <v>schatting</v>
      </c>
      <c r="P25" s="1" t="str">
        <v>2026-08-19</v>
      </c>
    </row>
    <row r="26" ht="23.850000000000005" customHeight="1">
      <c r="A26" s="1" t="str">
        <v>V-02</v>
      </c>
      <c r="B26" s="1" t="str">
        <v>R3</v>
      </c>
      <c r="C26" s="1" t="str">
        <v>Verwarming</v>
      </c>
      <c r="D26" s="1" t="str">
        <v>Elektrische verwarming (infraroodpaneel of convector) per kamer</v>
      </c>
      <c r="E26" s="1" t="str">
        <v>per kamer</v>
      </c>
      <c r="F26" s="5">
        <v>350</v>
      </c>
      <c r="G26" s="5">
        <v>600</v>
      </c>
      <c r="H26" s="5">
        <v>1000</v>
      </c>
      <c r="I26" s="5">
        <f>G26*Aannames!$B$4</f>
        <v>600</v>
      </c>
      <c r="J26" s="1" t="str">
        <v>Zelfde punten als V-01, lagere investering maar hogere exploitatielast en slechter voor het label.</v>
      </c>
      <c r="K26" s="1" t="str">
        <v>2 pt per vertrek</v>
      </c>
      <c r="L26" s="1" t="str">
        <v>Nee</v>
      </c>
      <c r="M26" s="1" t="str">
        <v>1 dag</v>
      </c>
      <c r="N26" s="1" t="str">
        <v>Schatting Claude, NL marktprijzen 2026</v>
      </c>
      <c r="O26" s="1" t="str">
        <v>schatting</v>
      </c>
      <c r="P26" s="1" t="str">
        <v>2026-08-19</v>
      </c>
    </row>
    <row r="27" ht="23.850000000000005" customHeight="1">
      <c r="A27" s="1" t="str">
        <v>V-03</v>
      </c>
      <c r="B27" s="1" t="str">
        <v>R3</v>
      </c>
      <c r="C27" s="1" t="str">
        <v>Verkoeling</v>
      </c>
      <c r="D27" s="1" t="str">
        <v>Split-airco (verwarmen én koelen) per kamer</v>
      </c>
      <c r="E27" s="1" t="str">
        <v>per kamer</v>
      </c>
      <c r="F27" s="5">
        <v>1500</v>
      </c>
      <c r="G27" s="5">
        <v>1500</v>
      </c>
      <c r="H27" s="5">
        <v>3500</v>
      </c>
      <c r="I27" s="5">
        <f>G27*Aannames!$B$4</f>
        <v>2300</v>
      </c>
      <c r="J27" s="1" t="str">
        <v>Levert bovenop verwarming 1 pt per verkoeld vertrek, met een maximum van 2 pt per kamer.</v>
      </c>
      <c r="K27" s="1" t="str">
        <v>+1 pt (max 2)</v>
      </c>
      <c r="L27" s="1" t="str">
        <v>Soms melding (buitenunit)</v>
      </c>
      <c r="M27" s="1" t="str">
        <v>1 week</v>
      </c>
      <c r="N27" s="1" t="str">
        <v>Inschatting gebruiker, 2026-08-26</v>
      </c>
      <c r="O27" s="1" t="str">
        <v>schatting</v>
      </c>
      <c r="P27" s="1" t="str">
        <v>2026-08-26</v>
      </c>
    </row>
    <row r="28" ht="23.850000000000005" customHeight="1">
      <c r="A28" s="1" t="str">
        <v>V-04</v>
      </c>
      <c r="B28" s="1" t="str">
        <v>R3</v>
      </c>
      <c r="C28" s="1" t="str">
        <v>Verkoeling</v>
      </c>
      <c r="D28" s="1" t="str">
        <v>Multisplit-airco, 1 buitenunit met 4 binnenunits</v>
      </c>
      <c r="E28" s="1" t="str">
        <v>per systeem</v>
      </c>
      <c r="F28" s="5">
        <v>6000</v>
      </c>
      <c r="G28" s="5">
        <v>8500</v>
      </c>
      <c r="H28" s="5">
        <v>12000</v>
      </c>
      <c r="I28" s="5">
        <f>G28*Aannames!$B$4</f>
        <v>8500</v>
      </c>
      <c r="J28" s="1" t="str">
        <v>Zelfde als V-03, goedkoper per kamer bij 3+ kamers.</v>
      </c>
      <c r="K28" s="1" t="str">
        <v>+1 pt (max 2) p.k.</v>
      </c>
      <c r="L28" s="1" t="str">
        <v>Soms melding</v>
      </c>
      <c r="M28" s="1" t="str">
        <v>1-2 weken</v>
      </c>
      <c r="N28" s="1" t="str">
        <v>Schatting Claude, NL marktprijzen 2026</v>
      </c>
      <c r="O28" s="1" t="str">
        <v>schatting</v>
      </c>
      <c r="P28" s="1" t="str">
        <v>2026-08-19</v>
      </c>
    </row>
    <row r="29" ht="23.850000000000005" customHeight="1">
      <c r="A29" s="1" t="str">
        <v>E-01</v>
      </c>
      <c r="B29" s="1" t="str">
        <v>R4</v>
      </c>
      <c r="C29" s="1" t="str">
        <v>Energie</v>
      </c>
      <c r="D29" s="1" t="str">
        <v>Spouwmuurisolatie laten inblazen (rijwoning, ca. 90 m² gevel)</v>
      </c>
      <c r="E29" s="1" t="str">
        <v>per woning</v>
      </c>
      <c r="F29" s="5">
        <v>1800</v>
      </c>
      <c r="G29" s="5">
        <v>3000</v>
      </c>
      <c r="H29" s="5">
        <v>4500</v>
      </c>
      <c r="I29" s="5">
        <f>G29*Aannames!$B$4</f>
        <v>3000</v>
      </c>
      <c r="J29" s="1" t="str">
        <v>Werkt via de energielabelfactor op de vierkante meters — het effect schaalt dus met de kameroppervlakte.</v>
      </c>
      <c r="K29" s="1" t="str">
        <v>Labelstap</v>
      </c>
      <c r="L29" s="1" t="str">
        <v>Nee</v>
      </c>
      <c r="M29" s="1" t="str">
        <v>1-2 dagen</v>
      </c>
      <c r="N29" s="1" t="str">
        <v>Schatting Claude, NL marktprijzen 2026</v>
      </c>
      <c r="O29" s="1" t="str">
        <v>schatting</v>
      </c>
      <c r="P29" s="1" t="str">
        <v>2026-08-19</v>
      </c>
    </row>
    <row r="30" ht="23.850000000000005" customHeight="1">
      <c r="A30" s="1" t="str">
        <v>E-02</v>
      </c>
      <c r="B30" s="1" t="str">
        <v>R4</v>
      </c>
      <c r="C30" s="1" t="str">
        <v>Energie</v>
      </c>
      <c r="D30" s="1" t="str">
        <v>Vloerisolatie kruipruimte</v>
      </c>
      <c r="E30" s="1" t="str">
        <v>per m² vloer</v>
      </c>
      <c r="F30" s="5">
        <v>30</v>
      </c>
      <c r="G30" s="5">
        <v>50</v>
      </c>
      <c r="H30" s="5">
        <v>75</v>
      </c>
      <c r="I30" s="5">
        <f>G30*Aannames!$B$4</f>
        <v>50</v>
      </c>
      <c r="J30" s="1" t="str">
        <v>Idem, labelfactor.</v>
      </c>
      <c r="K30" s="1" t="str">
        <v>Labelstap</v>
      </c>
      <c r="L30" s="1" t="str">
        <v>Nee</v>
      </c>
      <c r="M30" s="1" t="str">
        <v>2-3 dagen</v>
      </c>
      <c r="N30" s="1" t="str">
        <v>Schatting Claude, NL marktprijzen 2026</v>
      </c>
      <c r="O30" s="1" t="str">
        <v>schatting</v>
      </c>
      <c r="P30" s="1" t="str">
        <v>2026-08-19</v>
      </c>
    </row>
    <row r="31" ht="23.850000000000005" customHeight="1">
      <c r="A31" s="1" t="str">
        <v>E-03</v>
      </c>
      <c r="B31" s="1" t="str">
        <v>R4</v>
      </c>
      <c r="C31" s="1" t="str">
        <v>Energie</v>
      </c>
      <c r="D31" s="1" t="str">
        <v>Dakisolatie aan de binnenzijde incl. afwerking</v>
      </c>
      <c r="E31" s="1" t="str">
        <v>per m² dak</v>
      </c>
      <c r="F31" s="5">
        <v>70</v>
      </c>
      <c r="G31" s="5">
        <v>110</v>
      </c>
      <c r="H31" s="5">
        <v>170</v>
      </c>
      <c r="I31" s="5">
        <f>G31*Aannames!$B$4</f>
        <v>110</v>
      </c>
      <c r="J31" s="1" t="str">
        <v>Idem, labelfactor. Verlaagt tegelijk de hoogte — controleer de vertrekeisen.</v>
      </c>
      <c r="K31" s="1" t="str">
        <v>Labelstap</v>
      </c>
      <c r="L31" s="1" t="str">
        <v>Nee</v>
      </c>
      <c r="M31" s="1" t="str">
        <v>1-2 weken</v>
      </c>
      <c r="N31" s="1" t="str">
        <v>Schatting Claude, NL marktprijzen 2026</v>
      </c>
      <c r="O31" s="1" t="str">
        <v>schatting</v>
      </c>
      <c r="P31" s="1" t="str">
        <v>2026-08-19</v>
      </c>
    </row>
    <row r="32" ht="23.850000000000005" customHeight="1">
      <c r="A32" s="1" t="str">
        <v>E-04</v>
      </c>
      <c r="B32" s="1" t="str">
        <v>R4</v>
      </c>
      <c r="C32" s="1" t="str">
        <v>Energie</v>
      </c>
      <c r="D32" s="1" t="str">
        <v>HR++ glas plaatsen in bestaande kozijnen</v>
      </c>
      <c r="E32" s="1" t="str">
        <v>per m² glas</v>
      </c>
      <c r="F32" s="5">
        <v>250</v>
      </c>
      <c r="G32" s="5">
        <v>350</v>
      </c>
      <c r="H32" s="5">
        <v>500</v>
      </c>
      <c r="I32" s="5">
        <f>G32*Aannames!$B$4</f>
        <v>350</v>
      </c>
      <c r="J32" s="1" t="str">
        <v>Idem, labelfactor.</v>
      </c>
      <c r="K32" s="1" t="str">
        <v>Labelstap</v>
      </c>
      <c r="L32" s="1" t="str">
        <v>Nee</v>
      </c>
      <c r="M32" s="1" t="str">
        <v>1-2 weken</v>
      </c>
      <c r="N32" s="1" t="str">
        <v>Schatting Claude, NL marktprijzen 2026</v>
      </c>
      <c r="O32" s="1" t="str">
        <v>schatting</v>
      </c>
      <c r="P32" s="1" t="str">
        <v>2026-08-19</v>
      </c>
    </row>
    <row r="33" ht="23.850000000000005" customHeight="1">
      <c r="A33" s="1" t="str">
        <v>E-05</v>
      </c>
      <c r="B33" s="1" t="str">
        <v>R4</v>
      </c>
      <c r="C33" s="1" t="str">
        <v>Energie</v>
      </c>
      <c r="D33" s="1" t="str">
        <v>Triple glas incl. nieuwe kozijnen</v>
      </c>
      <c r="E33" s="1" t="str">
        <v>per m² glas</v>
      </c>
      <c r="F33" s="5">
        <v>450</v>
      </c>
      <c r="G33" s="5">
        <v>650</v>
      </c>
      <c r="H33" s="5">
        <v>950</v>
      </c>
      <c r="I33" s="5">
        <f>G33*Aannames!$B$4</f>
        <v>650</v>
      </c>
      <c r="J33" s="1" t="str">
        <v>Idem, labelfactor. Zelden rendabel puur voor de punten.</v>
      </c>
      <c r="K33" s="1" t="str">
        <v>Labelstap</v>
      </c>
      <c r="L33" s="1" t="str">
        <v>Soms melding</v>
      </c>
      <c r="M33" s="1" t="str">
        <v>3-6 weken</v>
      </c>
      <c r="N33" s="1" t="str">
        <v>Schatting Claude, NL marktprijzen 2026</v>
      </c>
      <c r="O33" s="1" t="str">
        <v>schatting</v>
      </c>
      <c r="P33" s="1" t="str">
        <v>2026-08-19</v>
      </c>
    </row>
    <row r="34" ht="23.850000000000005" customHeight="1">
      <c r="A34" s="1" t="str">
        <v>E-06</v>
      </c>
      <c r="B34" s="1" t="str">
        <v>R4</v>
      </c>
      <c r="C34" s="1" t="str">
        <v>Energie</v>
      </c>
      <c r="D34" s="1" t="str">
        <v>Zonnepanelen, 10 panelen incl. omvormer</v>
      </c>
      <c r="E34" s="1" t="str">
        <v>per systeem</v>
      </c>
      <c r="F34" s="5">
        <v>3500</v>
      </c>
      <c r="G34" s="5">
        <v>5000</v>
      </c>
      <c r="H34" s="5">
        <v>7000</v>
      </c>
      <c r="I34" s="5">
        <f>G34*Aannames!$B$4</f>
        <v>5000</v>
      </c>
      <c r="J34" s="1" t="str">
        <v>Verbetert het label; effect hangt af van de rest van de schil.</v>
      </c>
      <c r="K34" s="1" t="str">
        <v>Labelstap</v>
      </c>
      <c r="L34" s="1" t="str">
        <v>Nee</v>
      </c>
      <c r="M34" s="1" t="str">
        <v>1-2 dagen</v>
      </c>
      <c r="N34" s="1" t="str">
        <v>Schatting Claude, NL marktprijzen 2026</v>
      </c>
      <c r="O34" s="1" t="str">
        <v>schatting</v>
      </c>
      <c r="P34" s="1" t="str">
        <v>2026-08-19</v>
      </c>
    </row>
    <row r="35" ht="23.850000000000005" customHeight="1">
      <c r="A35" s="1" t="str">
        <v>E-07</v>
      </c>
      <c r="B35" s="1" t="str">
        <v>R4</v>
      </c>
      <c r="C35" s="1" t="str">
        <v>Energie</v>
      </c>
      <c r="D35" s="1" t="str">
        <v>Hybride warmtepomp naast bestaande cv-ketel</v>
      </c>
      <c r="E35" s="1" t="str">
        <v>per woning</v>
      </c>
      <c r="F35" s="5">
        <v>4500</v>
      </c>
      <c r="G35" s="5">
        <v>7000</v>
      </c>
      <c r="H35" s="5">
        <v>10000</v>
      </c>
      <c r="I35" s="5">
        <f>G35*Aannames!$B$4</f>
        <v>7000</v>
      </c>
      <c r="J35" s="1" t="str">
        <v>Meestal de sterkste losse labelverbetering bij een matig geïsoleerde woning.</v>
      </c>
      <c r="K35" s="1" t="str">
        <v>1-2 labelstappen</v>
      </c>
      <c r="L35" s="1" t="str">
        <v>Nee</v>
      </c>
      <c r="M35" s="1" t="str">
        <v>1 week</v>
      </c>
      <c r="N35" s="1" t="str">
        <v>Schatting Claude, NL marktprijzen 2026</v>
      </c>
      <c r="O35" s="1" t="str">
        <v>schatting</v>
      </c>
      <c r="P35" s="1" t="str">
        <v>2026-08-19</v>
      </c>
    </row>
    <row r="36" ht="23.850000000000005" customHeight="1">
      <c r="A36" s="1" t="str">
        <v>E-08</v>
      </c>
      <c r="B36" s="1" t="str">
        <v>R4</v>
      </c>
      <c r="C36" s="1" t="str">
        <v>Energie</v>
      </c>
      <c r="D36" s="1" t="str">
        <v>Volledig elektrische warmtepomp incl. afgiftesysteem</v>
      </c>
      <c r="E36" s="1" t="str">
        <v>per woning</v>
      </c>
      <c r="F36" s="5">
        <v>11000</v>
      </c>
      <c r="G36" s="5">
        <v>16000</v>
      </c>
      <c r="H36" s="5">
        <v>24000</v>
      </c>
      <c r="I36" s="5">
        <f>G36*Aannames!$B$4</f>
        <v>16000</v>
      </c>
      <c r="J36" s="1" t="str">
        <v>Grote labelsprong, hoge investering — vrijwel altijd te duur puur voor de punten.</v>
      </c>
      <c r="K36" s="1" t="str">
        <v>2+ labelstappen</v>
      </c>
      <c r="L36" s="1" t="str">
        <v>Soms melding</v>
      </c>
      <c r="M36" s="1" t="str">
        <v>3-6 weken</v>
      </c>
      <c r="N36" s="1" t="str">
        <v>Schatting Claude, NL marktprijzen 2026</v>
      </c>
      <c r="O36" s="1" t="str">
        <v>schatting</v>
      </c>
      <c r="P36" s="1" t="str">
        <v>2026-08-19</v>
      </c>
    </row>
    <row r="37" ht="23.850000000000005" customHeight="1">
      <c r="A37" s="1" t="str">
        <v>E-09</v>
      </c>
      <c r="B37" s="1" t="str">
        <v>R4</v>
      </c>
      <c r="C37" s="1" t="str">
        <v>Energie</v>
      </c>
      <c r="D37" s="1" t="str">
        <v>Nieuw energielabel laten opnemen door EP-adviseur</v>
      </c>
      <c r="E37" s="1" t="str">
        <v>per woning</v>
      </c>
      <c r="F37" s="5">
        <v>250</v>
      </c>
      <c r="G37" s="5">
        <v>450</v>
      </c>
      <c r="H37" s="5">
        <v>750</v>
      </c>
      <c r="I37" s="5">
        <f>G37*Aannames!$B$4</f>
        <v>450</v>
      </c>
      <c r="J37" s="1" t="str">
        <v>Geen puntenwinst op zichzelf, maar zonder geregistreerd label valt de telling terug op het bouwjaar — vaak enkele punten per kamer lager.</v>
      </c>
      <c r="K37" s="1" t="str">
        <v>0 (registratie)</v>
      </c>
      <c r="L37" s="1" t="str">
        <v>Nee</v>
      </c>
      <c r="M37" s="1" t="str">
        <v>1-2 weken</v>
      </c>
      <c r="N37" s="1" t="str">
        <v>Schatting Claude, NL marktprijzen 2026</v>
      </c>
      <c r="O37" s="1" t="str">
        <v>schatting</v>
      </c>
      <c r="P37" s="1" t="str">
        <v>2026-08-19</v>
      </c>
    </row>
    <row r="38" ht="23.850000000000005" customHeight="1">
      <c r="A38" s="1" t="str">
        <v>B-01</v>
      </c>
      <c r="B38" s="1" t="str">
        <v>R8</v>
      </c>
      <c r="C38" s="1" t="str">
        <v>Buitenruimte</v>
      </c>
      <c r="D38" s="1" t="str">
        <v>Frans balkon plaatsen (deur + hekwerk)</v>
      </c>
      <c r="E38" s="1" t="str">
        <v>per stuk</v>
      </c>
      <c r="F38" s="5">
        <v>2000</v>
      </c>
      <c r="G38" s="5">
        <v>3200</v>
      </c>
      <c r="H38" s="5">
        <v>5000</v>
      </c>
      <c r="I38" s="5">
        <f>G38*Aannames!$B$4</f>
        <v>3200</v>
      </c>
      <c r="J38" s="1" t="str">
        <v>Privébuitenruimte telt 2 pt + 0,35 pt per m², met een maximum van 15 pt per kamer.</v>
      </c>
      <c r="K38" s="1" t="str">
        <v>Startpunten 2 pt</v>
      </c>
      <c r="L38" s="1" t="str">
        <v>Ja (gevelwijziging)</v>
      </c>
      <c r="M38" s="1" t="str">
        <v>4-8 weken</v>
      </c>
      <c r="N38" s="1" t="str">
        <v>Schatting Claude, NL marktprijzen 2026</v>
      </c>
      <c r="O38" s="1" t="str">
        <v>schatting</v>
      </c>
      <c r="P38" s="1" t="str">
        <v>2026-08-19</v>
      </c>
    </row>
    <row r="39" ht="23.850000000000005" customHeight="1">
      <c r="A39" s="1" t="str">
        <v>B-02</v>
      </c>
      <c r="B39" s="1" t="str">
        <v>R8</v>
      </c>
      <c r="C39" s="1" t="str">
        <v>Buitenruimte</v>
      </c>
      <c r="D39" s="1" t="str">
        <v>Balkon aanbrengen aan achtergevel</v>
      </c>
      <c r="E39" s="1" t="str">
        <v>per stuk</v>
      </c>
      <c r="F39" s="5">
        <v>8000</v>
      </c>
      <c r="G39" s="5">
        <v>13000</v>
      </c>
      <c r="H39" s="5">
        <v>20000</v>
      </c>
      <c r="I39" s="5">
        <f>G39*Aannames!$B$4</f>
        <v>13000</v>
      </c>
      <c r="J39" s="1" t="str">
        <v>Idem, met meer m².</v>
      </c>
      <c r="K39" s="1" t="str">
        <v>2 pt + 0,35/m²</v>
      </c>
      <c r="L39" s="1" t="str">
        <v>Ja</v>
      </c>
      <c r="M39" s="1" t="str">
        <v>8-16 weken</v>
      </c>
      <c r="N39" s="1" t="str">
        <v>Schatting Claude, NL marktprijzen 2026</v>
      </c>
      <c r="O39" s="1" t="str">
        <v>schatting</v>
      </c>
      <c r="P39" s="1" t="str">
        <v>2026-08-19</v>
      </c>
    </row>
    <row r="40" ht="23.850000000000005" customHeight="1">
      <c r="A40" s="1" t="str">
        <v>B-03</v>
      </c>
      <c r="B40" s="1" t="str">
        <v>R8</v>
      </c>
      <c r="C40" s="1" t="str">
        <v>Buitenruimte</v>
      </c>
      <c r="D40" s="1" t="str">
        <v>Dakterras realiseren incl. toegang en hekwerk</v>
      </c>
      <c r="E40" s="1" t="str">
        <v>per stuk</v>
      </c>
      <c r="F40" s="5">
        <v>10000</v>
      </c>
      <c r="G40" s="5">
        <v>18000</v>
      </c>
      <c r="H40" s="5">
        <v>30000</v>
      </c>
      <c r="I40" s="5">
        <f>G40*Aannames!$B$4</f>
        <v>18000</v>
      </c>
      <c r="J40" s="1" t="str">
        <v>Idem; vaak de enige optie op de bovenste verdieping.</v>
      </c>
      <c r="K40" s="1" t="str">
        <v>2 pt + 0,35/m²</v>
      </c>
      <c r="L40" s="1" t="str">
        <v>Ja</v>
      </c>
      <c r="M40" s="1" t="str">
        <v>8-16 weken</v>
      </c>
      <c r="N40" s="1" t="str">
        <v>Schatting Claude, NL marktprijzen 2026</v>
      </c>
      <c r="O40" s="1" t="str">
        <v>schatting</v>
      </c>
      <c r="P40" s="1" t="str">
        <v>2026-08-19</v>
      </c>
    </row>
    <row r="41" ht="23.850000000000005" customHeight="1">
      <c r="A41" s="1" t="str">
        <v>B-04</v>
      </c>
      <c r="B41" s="1" t="str">
        <v>R8</v>
      </c>
      <c r="C41" s="1" t="str">
        <v>Buitenruimte</v>
      </c>
      <c r="D41" s="1" t="str">
        <v>Tuin of plaats toegankelijk en bruikbaar maken (terras, verlichting, berging)</v>
      </c>
      <c r="E41" s="1" t="str">
        <v>per project</v>
      </c>
      <c r="F41" s="5">
        <v>1500</v>
      </c>
      <c r="G41" s="5">
        <v>3000</v>
      </c>
      <c r="H41" s="5">
        <v>6000</v>
      </c>
      <c r="I41" s="5">
        <f>G41*Aannames!$B$4</f>
        <v>3000</v>
      </c>
      <c r="J41" s="1" t="str">
        <v>Gemeenschappelijke buitenruimte telt 0,75 pt per m², gedeeld door kamers en adressen.</v>
      </c>
      <c r="K41" s="1" t="str">
        <v>0,75 pt per m² gedeeld</v>
      </c>
      <c r="L41" s="1" t="str">
        <v>Nee</v>
      </c>
      <c r="M41" s="1" t="str">
        <v>1-2 weken</v>
      </c>
      <c r="N41" s="1" t="str">
        <v>Schatting Claude, NL marktprijzen 2026</v>
      </c>
      <c r="O41" s="1" t="str">
        <v>schatting</v>
      </c>
      <c r="P41" s="1" t="str">
        <v>2026-08-19</v>
      </c>
    </row>
    <row r="42" ht="23.850000000000005" customHeight="1">
      <c r="A42" s="1" t="str">
        <v>P-01</v>
      </c>
      <c r="B42" s="1" t="str">
        <v>R10</v>
      </c>
      <c r="C42" s="1" t="str">
        <v>Parkeren</v>
      </c>
      <c r="D42" s="1" t="str">
        <v>Laadpaal plaatsen op eigen terrein</v>
      </c>
      <c r="E42" s="1" t="str">
        <v>per stuk</v>
      </c>
      <c r="F42" s="5">
        <v>1200</v>
      </c>
      <c r="G42" s="5">
        <v>2000</v>
      </c>
      <c r="H42" s="5">
        <v>3200</v>
      </c>
      <c r="I42" s="5">
        <f>G42*Aannames!$B$4</f>
        <v>2000</v>
      </c>
      <c r="J42" s="1" t="str">
        <v>Parkeerpunten worden gedeeld door adressen en kamers; alleen zinvol bij eigen parkeerplaats.</v>
      </c>
      <c r="K42" s="1" t="str">
        <v>Klein, gedeeld</v>
      </c>
      <c r="L42" s="1" t="str">
        <v>Soms melding</v>
      </c>
      <c r="M42" s="1" t="str">
        <v>1-2 weken</v>
      </c>
      <c r="N42" s="1" t="str">
        <v>Schatting Claude, NL marktprijzen 2026</v>
      </c>
      <c r="O42" s="1" t="str">
        <v>schatting</v>
      </c>
      <c r="P42" s="1" t="str">
        <v>2026-08-19</v>
      </c>
    </row>
    <row r="43" ht="23.850000000000005" customHeight="1">
      <c r="A43" s="1" t="str">
        <v>X-01</v>
      </c>
      <c r="B43" s="1" t="str">
        <v>R12</v>
      </c>
      <c r="C43" s="1" t="str">
        <v>Bijzonder</v>
      </c>
      <c r="D43" s="1" t="str">
        <v>Video-intercom / aanbelfunctie met camerabeeld op de kamer</v>
      </c>
      <c r="E43" s="1" t="str">
        <v>per pand</v>
      </c>
      <c r="F43" s="5">
        <v>800</v>
      </c>
      <c r="G43" s="5">
        <v>1500</v>
      </c>
      <c r="H43" s="5">
        <v>2500</v>
      </c>
      <c r="I43" s="5">
        <f>G43*Aannames!$B$4</f>
        <v>1500</v>
      </c>
      <c r="J43" s="1" t="str">
        <v>0,25 pt per kamer. Lage investering, telt bij 6+ kamers licht mee.</v>
      </c>
      <c r="K43" s="1" t="str">
        <v>0,25 pt per kamer</v>
      </c>
      <c r="L43" s="1" t="str">
        <v>Nee</v>
      </c>
      <c r="M43" s="1" t="str">
        <v>2-4 dagen</v>
      </c>
      <c r="N43" s="1" t="str">
        <v>Schatting Claude, NL marktprijzen 2026</v>
      </c>
      <c r="O43" s="1" t="str">
        <v>schatting</v>
      </c>
      <c r="P43" s="1" t="str">
        <v>2026-08-19</v>
      </c>
    </row>
    <row r="44" ht="23.850000000000005" customHeight="1">
      <c r="A44" s="1" t="str">
        <v>A-01</v>
      </c>
      <c r="B44" s="1" t="str">
        <v>R13</v>
      </c>
      <c r="C44" s="1" t="str">
        <v>Aftrekpunten</v>
      </c>
      <c r="D44" s="1" t="str">
        <v>Raam vergroten zodat het ruitoppervlak boven 0,75 m² komt</v>
      </c>
      <c r="E44" s="1" t="str">
        <v>per kamer</v>
      </c>
      <c r="F44" s="5">
        <v>1500</v>
      </c>
      <c r="G44" s="5">
        <v>2800</v>
      </c>
      <c r="H44" s="5">
        <v>4500</v>
      </c>
      <c r="I44" s="5">
        <f>G44*Aannames!$B$4</f>
        <v>2800</v>
      </c>
      <c r="J44" s="1" t="str">
        <v>Neemt een aftrek van 4 pt per kamer weg — vrijwel altijd de goedkoopste puntenwinst als de aftrek er staat.</v>
      </c>
      <c r="K44" s="1" t="str">
        <v>+4 pt (aftrek vervalt)</v>
      </c>
      <c r="L44" s="1" t="str">
        <v>Ja (gevelwijziging)</v>
      </c>
      <c r="M44" s="1" t="str">
        <v>3-6 weken</v>
      </c>
      <c r="N44" s="1" t="str">
        <v>Schatting Claude, NL marktprijzen 2026</v>
      </c>
      <c r="O44" s="1" t="str">
        <v>schatting</v>
      </c>
      <c r="P44" s="1" t="str">
        <v>2026-08-19</v>
      </c>
    </row>
    <row r="45" ht="23.850000000000005" customHeight="1">
      <c r="A45" s="1" t="str">
        <v>A-02</v>
      </c>
      <c r="B45" s="1" t="str">
        <v>R13</v>
      </c>
      <c r="C45" s="1" t="str">
        <v>Aftrekpunten</v>
      </c>
      <c r="D45" s="1" t="str">
        <v>Raam verlagen of extra raam onder 1,60 m plaatsen</v>
      </c>
      <c r="E45" s="1" t="str">
        <v>per kamer</v>
      </c>
      <c r="F45" s="5">
        <v>1500</v>
      </c>
      <c r="G45" s="5">
        <v>2600</v>
      </c>
      <c r="H45" s="5">
        <v>4200</v>
      </c>
      <c r="I45" s="5">
        <f>G45*Aannames!$B$4</f>
        <v>2600</v>
      </c>
      <c r="J45" s="1" t="str">
        <v>Neemt de aftrek van 4 pt weg voor 'laagste raam hoger dan 1,60 m'.</v>
      </c>
      <c r="K45" s="1" t="str">
        <v>+4 pt</v>
      </c>
      <c r="L45" s="1" t="str">
        <v>Ja</v>
      </c>
      <c r="M45" s="1" t="str">
        <v>3-6 weken</v>
      </c>
      <c r="N45" s="1" t="str">
        <v>Schatting Claude, NL marktprijzen 2026</v>
      </c>
      <c r="O45" s="1" t="str">
        <v>schatting</v>
      </c>
      <c r="P45" s="1" t="str">
        <v>2026-08-19</v>
      </c>
    </row>
    <row r="46" ht="23.850000000000005" customHeight="1">
      <c r="A46" s="1" t="str">
        <v>A-03</v>
      </c>
      <c r="B46" s="1" t="str">
        <v>R13</v>
      </c>
      <c r="C46" s="1" t="str">
        <v>Aftrekpunten</v>
      </c>
      <c r="D46" s="1" t="str">
        <v>Eigen gang of entree creëren zodat de kamer niet via een verhuurdersruimte bereikbaar is</v>
      </c>
      <c r="E46" s="1" t="str">
        <v>per kamer</v>
      </c>
      <c r="F46" s="5">
        <v>2000</v>
      </c>
      <c r="G46" s="5">
        <v>4500</v>
      </c>
      <c r="H46" s="5">
        <v>9000</v>
      </c>
      <c r="I46" s="5">
        <f>G46*Aannames!$B$4</f>
        <v>4500</v>
      </c>
      <c r="J46" s="1" t="str">
        <v>Neemt de aftrek van 4 pt weg voor bereikbaarheid via de verhuurder.</v>
      </c>
      <c r="K46" s="1" t="str">
        <v>+4 pt</v>
      </c>
      <c r="L46" s="1" t="str">
        <v>Meestal melding</v>
      </c>
      <c r="M46" s="1" t="str">
        <v>2-4 weken</v>
      </c>
      <c r="N46" s="1" t="str">
        <v>Schatting Claude, NL marktprijzen 2026</v>
      </c>
      <c r="O46" s="1" t="str">
        <v>schatting</v>
      </c>
      <c r="P46" s="1" t="str">
        <v>2026-08-19</v>
      </c>
    </row>
    <row r="47" ht="23.850000000000005" customHeight="1">
      <c r="A47" s="1" t="str">
        <v>A-04</v>
      </c>
      <c r="B47" s="1" t="str">
        <v>R13</v>
      </c>
      <c r="C47" s="1" t="str">
        <v>Aftrekpunten</v>
      </c>
      <c r="D47" s="1" t="str">
        <v>Kamer vergroten tot minimaal 8 m² (wand verplaatsen, zie ook I-01/I-02)</v>
      </c>
      <c r="E47" s="1" t="str">
        <v>per kamer</v>
      </c>
      <c r="F47" s="5">
        <v>1200</v>
      </c>
      <c r="G47" s="5">
        <v>2500</v>
      </c>
      <c r="H47" s="5">
        <v>5000</v>
      </c>
      <c r="I47" s="5">
        <f>G47*Aannames!$B$4</f>
        <v>2500</v>
      </c>
      <c r="J47" s="1" t="str">
        <v>Neemt de aftrek van 4 pt weg voor een privévertrek kleiner dan 8 m², plus 1 pt per extra m².</v>
      </c>
      <c r="K47" s="1" t="str">
        <v>+4 pt + m²-punten</v>
      </c>
      <c r="L47" s="1" t="str">
        <v>Meestal melding</v>
      </c>
      <c r="M47" s="1" t="str">
        <v>1-2 weken</v>
      </c>
      <c r="N47" s="1" t="str">
        <v>Schatting Claude, NL marktprijzen 2026</v>
      </c>
      <c r="O47" s="1" t="str">
        <v>schatting</v>
      </c>
      <c r="P47" s="1" t="str">
        <v>2026-08-19</v>
      </c>
    </row>
    <row r="48" ht="23.850000000000005" customHeight="1">
      <c r="A48" s="1" t="str">
        <v>PR-01</v>
      </c>
      <c r="B48" s="1" t="str">
        <v>PROC</v>
      </c>
      <c r="C48" s="1" t="str">
        <v>Proces</v>
      </c>
      <c r="D48" s="1" t="str">
        <v>Inmeting en plattegrond conform NEN 2580</v>
      </c>
      <c r="E48" s="1" t="str">
        <v>per pand</v>
      </c>
      <c r="F48" s="5">
        <v>300</v>
      </c>
      <c r="G48" s="5">
        <v>550</v>
      </c>
      <c r="H48" s="5">
        <v>900</v>
      </c>
      <c r="I48" s="5">
        <f>G48*Aannames!$B$4</f>
        <v>550</v>
      </c>
      <c r="J48" s="1" t="str">
        <v>Geen punten, wel de basis voor een verdedigbare telling bij een geschil.</v>
      </c>
      <c r="K48" s="1" t="str">
        <v>0</v>
      </c>
      <c r="L48" s="1" t="str">
        <v>Nee</v>
      </c>
      <c r="M48" s="1" t="str">
        <v>1-2 weken</v>
      </c>
      <c r="N48" s="1" t="str">
        <v>Schatting Claude, NL marktprijzen 2026</v>
      </c>
      <c r="O48" s="1" t="str">
        <v>schatting</v>
      </c>
      <c r="P48" s="1" t="str">
        <v>2026-08-19</v>
      </c>
    </row>
    <row r="49" ht="23.850000000000005" customHeight="1">
      <c r="A49" s="1" t="str">
        <v>PR-02</v>
      </c>
      <c r="B49" s="1" t="str">
        <v>PROC</v>
      </c>
      <c r="C49" s="1" t="str">
        <v>Proces</v>
      </c>
      <c r="D49" s="1" t="str">
        <v>Bouwkundig advies / constructeursberekening</v>
      </c>
      <c r="E49" s="1" t="str">
        <v>per project</v>
      </c>
      <c r="F49" s="5">
        <v>750</v>
      </c>
      <c r="G49" s="5">
        <v>1400</v>
      </c>
      <c r="H49" s="5">
        <v>2500</v>
      </c>
      <c r="I49" s="5">
        <f>G49*Aannames!$B$4</f>
        <v>1400</v>
      </c>
      <c r="J49" s="1" t="str">
        <v>Geen punten; randvoorwaarde bij I-03 en I-05.</v>
      </c>
      <c r="K49" s="1" t="str">
        <v>0</v>
      </c>
      <c r="L49" s="1" t="str">
        <v>Nee</v>
      </c>
      <c r="M49" s="1" t="str">
        <v>2-4 weken</v>
      </c>
      <c r="N49" s="1" t="str">
        <v>Schatting Claude, NL marktprijzen 2026</v>
      </c>
      <c r="O49" s="1" t="str">
        <v>schatting</v>
      </c>
      <c r="P49" s="1" t="str">
        <v>2026-08-19</v>
      </c>
    </row>
    <row r="50" ht="23.850000000000005" customHeight="1">
      <c r="A50" s="1" t="str">
        <v>PR-03</v>
      </c>
      <c r="B50" s="1" t="str">
        <v>PROC</v>
      </c>
      <c r="C50" s="1" t="str">
        <v>Proces</v>
      </c>
      <c r="D50" s="1" t="str">
        <v>Leges omzettings- of kamerverhuurvergunning</v>
      </c>
      <c r="E50" s="1" t="str">
        <v>per aanvraag</v>
      </c>
      <c r="F50" s="5">
        <v>500</v>
      </c>
      <c r="G50" s="5">
        <v>1500</v>
      </c>
      <c r="H50" s="5">
        <v>3500</v>
      </c>
      <c r="I50" s="5">
        <f>G50*Aannames!$B$4</f>
        <v>1500</v>
      </c>
      <c r="J50" s="1" t="str">
        <v>Geen punten; sterk gemeenteafhankelijk. Rotterdam apart controleren.</v>
      </c>
      <c r="K50" s="1" t="str">
        <v>0</v>
      </c>
      <c r="L50" s="1" t="str">
        <v>N.v.t.</v>
      </c>
      <c r="M50" s="1" t="str">
        <v>8-16 weken</v>
      </c>
      <c r="N50" s="1" t="str">
        <v>Schatting Claude, NL marktprijzen 2026</v>
      </c>
      <c r="O50" s="1" t="str">
        <v>schatting</v>
      </c>
      <c r="P50" s="1" t="str">
        <v>2026-08-19</v>
      </c>
    </row>
    <row r="51" ht="23.850000000000005" customHeight="1">
      <c r="A51" s="1" t="str">
        <v>PR-04</v>
      </c>
      <c r="B51" s="1" t="str">
        <v>PROC</v>
      </c>
      <c r="C51" s="1" t="str">
        <v>Proces</v>
      </c>
      <c r="D51" s="1" t="str">
        <v>Brandveiligheid: gekoppelde rookmelders en brandwerende deuren</v>
      </c>
      <c r="E51" s="1" t="str">
        <v>per kamer</v>
      </c>
      <c r="F51" s="5">
        <v>700</v>
      </c>
      <c r="G51" s="5">
        <v>1300</v>
      </c>
      <c r="H51" s="5">
        <v>2500</v>
      </c>
      <c r="I51" s="5">
        <f>G51*Aannames!$B$4</f>
        <v>1300</v>
      </c>
      <c r="J51" s="1" t="str">
        <v>Geen punten; wettelijke eis bij kamerverhuur en vaak vergunningvoorwaarde.</v>
      </c>
      <c r="K51" s="1" t="str">
        <v>0</v>
      </c>
      <c r="L51" s="1" t="str">
        <v>Vergunningvoorwaarde</v>
      </c>
      <c r="M51" s="1" t="str">
        <v>1-2 weken</v>
      </c>
      <c r="N51" s="1" t="str">
        <v>Schatting Claude, NL marktprijzen 2026</v>
      </c>
      <c r="O51" s="1" t="str">
        <v>schatting</v>
      </c>
      <c r="P51" s="1" t="str">
        <v>2026-08-19</v>
      </c>
    </row>
    <row r="52" ht="23.850000000000005" customHeight="1">
      <c r="A52" s="1" t="str">
        <v>PR-05</v>
      </c>
      <c r="B52" s="1" t="str">
        <v>PROC</v>
      </c>
      <c r="C52" s="1" t="str">
        <v>Proces</v>
      </c>
      <c r="D52" s="1" t="str">
        <v>Geluidsisolatie tussen kamers (wand- en vloeropbouw)</v>
      </c>
      <c r="E52" s="1" t="str">
        <v>per m²</v>
      </c>
      <c r="F52" s="5">
        <v>60</v>
      </c>
      <c r="G52" s="5">
        <v>110</v>
      </c>
      <c r="H52" s="5">
        <v>180</v>
      </c>
      <c r="I52" s="5">
        <f>G52*Aannames!$B$4</f>
        <v>110</v>
      </c>
      <c r="J52" s="1" t="str">
        <v>Geen punten; vaak vergunningvoorwaarde en bepalend voor de verhuurbaarheid.</v>
      </c>
      <c r="K52" s="1" t="str">
        <v>0</v>
      </c>
      <c r="L52" s="1" t="str">
        <v>Vergunningvoorwaarde</v>
      </c>
      <c r="M52" s="1" t="str">
        <v>1-2 weken</v>
      </c>
      <c r="N52" s="1" t="str">
        <v>Schatting Claude, NL marktprijzen 2026</v>
      </c>
      <c r="O52" s="1" t="str">
        <v>schatting</v>
      </c>
      <c r="P52" s="1" t="str">
        <v>2026-08-19</v>
      </c>
    </row>
    <row r="53" ht="23.850000000000005" customHeight="1">
      <c r="A53" s="1" t="str">
        <v>PR-06</v>
      </c>
      <c r="B53" s="1" t="str">
        <v>PROC</v>
      </c>
      <c r="C53" s="1" t="str">
        <v>Proces</v>
      </c>
      <c r="D53" s="1" t="str">
        <v>Huurderving tijdens verbouwing</v>
      </c>
      <c r="E53" s="1" t="str">
        <v>per kamer per maand</v>
      </c>
      <c r="F53" s="5">
        <v>400</v>
      </c>
      <c r="G53" s="5">
        <v>550</v>
      </c>
      <c r="H53" s="5">
        <v>800</v>
      </c>
      <c r="I53" s="5">
        <f>G53*Aannames!$B$4</f>
        <v>550</v>
      </c>
      <c r="J53" s="1" t="str">
        <v>Geen punten; hoort wel in de investeringskant van het scenario, anders lijkt de terugverdientijd te kort.</v>
      </c>
      <c r="K53" s="1" t="str">
        <v>0</v>
      </c>
      <c r="L53" s="1" t="str">
        <v>N.v.t.</v>
      </c>
      <c r="M53" s="1" t="str">
        <v>—</v>
      </c>
      <c r="N53" s="1" t="str">
        <v>Schatting Claude, NL marktprijzen 2026</v>
      </c>
      <c r="O53" s="1" t="str">
        <v>schatting</v>
      </c>
      <c r="P53" s="1" t="str">
        <v>2026-08-19</v>
      </c>
    </row>
    <row r="54">
      <c r="A54" s="1" t="str">
        <v>K-09</v>
      </c>
      <c r="B54" s="1" t="str">
        <v>R5</v>
      </c>
      <c r="C54" s="1" t="str">
        <v>Keuken</v>
      </c>
      <c r="D54" s="1" t="str">
        <v>Kitchenette/keukenblok 240 cm per kamer (spoelbak+kraan, inductieplaat, afzuigkap, elektrische oven, vaatwasser, koelkast, 2x bovenkast) incl. plaatsing</v>
      </c>
      <c r="E54" s="1" t="str">
        <v>per kamer</v>
      </c>
      <c r="F54" s="1">
        <v>3171.6</v>
      </c>
      <c r="G54" s="1">
        <v>3171.6</v>
      </c>
      <c r="H54" s="1">
        <v>3171.6</v>
      </c>
      <c r="I54" s="1">
        <f>G54*Aannames!$B$4</f>
        <v>3171.6</v>
      </c>
      <c r="J54" s="1" t="str">
        <v>Verschuift keukenpunten van gedeeld naar privé, zelfde principe als K-01 maar met aanrechtlengte 240 cm (grotere basispunten-drempel).</v>
      </c>
      <c r="K54" s="1" t="str">
        <v>14 pt (aanrecht 240 cm)</v>
      </c>
      <c r="L54" s="1" t="str">
        <v>Nee (wel bouwbesluit/ventilatie)</v>
      </c>
      <c r="M54" s="1" t="str">
        <v>1-2 weken</v>
      </c>
      <c r="N54" s="1" t="str">
        <v>Offerte leverancier, keukenblok 240cm/14pt (resources/Kosten per keukenblok.xlsx), 2026-08-26</v>
      </c>
      <c r="O54" s="1" t="str">
        <v>offerte</v>
      </c>
      <c r="P54" s="1" t="str">
        <v>2026-08-26</v>
      </c>
    </row>
    <row r="55" ht="15" customHeight="1"/>
    <row r="56">
      <c r="D56" s="1" t="str">
        <v>Aantal maatregelen in catalogus</v>
      </c>
      <c r="E56" s="1">
        <f>COUNTA(A5:A53)</f>
        <v>50</v>
      </c>
      <c r="F56" s="1" t="str">
        <f>COUNTIF(O5:O53,"bevestigd")&amp;" van "&amp;COUNTA(A5:A53)&amp;" bevestigd"</f>
        <v>0 van 50 bevestigd, 3 offerte</v>
      </c>
    </row>
    <row r="57" ht="15" customHeight="1"/>
    <row r="58">
      <c r="D58" s="1" t="str">
        <v>Alle bedragen zijn schattingen van Claude (NL marktprijzen 2026, incl. btw en arbeid) — geen offertes. Vervang ze door eigen cijfers en zet de status om.</v>
      </c>
    </row>
  </sheetData>
  <pageMargins left="0.75" right="0.75" top="1" bottom="1" header="0.511811023622047" footer="0.511811023622047"/>
  <ignoredErrors>
    <ignoredError numberStoredAsText="1" sqref="A1:P5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Toelichting</vt:lpstr>
      <vt:lpstr>Aannames</vt:lpstr>
      <vt:lpstr>Maatregelen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2026-08-19T10:28:46Z</dcterms:created>
  <dcterms:modified xsi:type="dcterms:W3CDTF">2026-08-19T10:28:46Z</dcterms:modified>
  <cp:revision>0</cp:revision>
  <dc:creator>openpyxl</dc:creator>
  <dc:language>en-US</dc:language>
</cp:coreProperties>
</file>