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 centimer  keuken" sheetId="1" r:id="rId5"/>
    <sheet state="visible" name="122 centimer  keuken" sheetId="2" r:id="rId6"/>
  </sheets>
  <definedNames/>
  <calcPr/>
</workbook>
</file>

<file path=xl/sharedStrings.xml><?xml version="1.0" encoding="utf-8"?>
<sst xmlns="http://schemas.openxmlformats.org/spreadsheetml/2006/main" count="64" uniqueCount="36">
  <si>
    <t>Kamer 1</t>
  </si>
  <si>
    <t>Kamer 2</t>
  </si>
  <si>
    <t>Kamer 3</t>
  </si>
  <si>
    <t>Kamer 4</t>
  </si>
  <si>
    <t>Kamer 5</t>
  </si>
  <si>
    <t>Kamer 6</t>
  </si>
  <si>
    <t>totaal - ex BTW</t>
  </si>
  <si>
    <t>toaal - incl BTW</t>
  </si>
  <si>
    <t>Keuken - materiaal</t>
  </si>
  <si>
    <t>Inhuizen Materiaal</t>
  </si>
  <si>
    <t>Keuken - plaatsingskosten</t>
  </si>
  <si>
    <t>Loodgieterswerk</t>
  </si>
  <si>
    <t>Elektra</t>
  </si>
  <si>
    <t>Fee Begeleiding EV</t>
  </si>
  <si>
    <t>Totaal ex BTW</t>
  </si>
  <si>
    <t>*Bovenstaande berekening ging uit van het al aanwezig zijn van wasbakken voor de toe/ afvoer van het leidingwerk.</t>
  </si>
  <si>
    <t>Per keuken</t>
  </si>
  <si>
    <t>*Denk aan een eventuele noodzakelijke verzwaring van de hoofdaansluiting</t>
  </si>
  <si>
    <t>Specificaties</t>
  </si>
  <si>
    <t>14 huurpunten</t>
  </si>
  <si>
    <t>8 huurpunten</t>
  </si>
  <si>
    <t>lengte</t>
  </si>
  <si>
    <t>122- cm</t>
  </si>
  <si>
    <t>240 - cm</t>
  </si>
  <si>
    <t>diepte</t>
  </si>
  <si>
    <t>56 - cm</t>
  </si>
  <si>
    <t>Inclusief</t>
  </si>
  <si>
    <t>Spoelbak + kraan</t>
  </si>
  <si>
    <t>Inductieplaat</t>
  </si>
  <si>
    <t>Afzuigkap</t>
  </si>
  <si>
    <t>2x bovenkast met opbergruimte</t>
  </si>
  <si>
    <t>2x benedenkast met opbergruimte</t>
  </si>
  <si>
    <t>2x stopcontact</t>
  </si>
  <si>
    <t>Elektrische oven</t>
  </si>
  <si>
    <t>Vaatwasser</t>
  </si>
  <si>
    <t>Koelkast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</si>
</sst>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3200400" cy="2828925"/>
    <xdr:pic>
      <xdr:nvPicPr>
        <xdr:cNvPr id="0" name="image1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12</xdr:row>
      <xdr:rowOff>9525</xdr:rowOff>
    </xdr:from>
    <xdr:ext cx="4019550" cy="5276850"/>
    <xdr:pic>
      <xdr:nvPicPr>
        <xdr:cNvPr id="0" name="image2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4" max="4" width="16.0"/>
    <col customWidth="1" min="8" max="8" width="14.38"/>
    <col customWidth="1" min="9" max="9" width="15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>
      <c r="A2" s="2" t="s">
        <v>8</v>
      </c>
      <c r="B2" s="4">
        <v>2595.6</v>
      </c>
      <c r="C2" s="4">
        <v>2595.6</v>
      </c>
      <c r="D2" s="4">
        <v>2595.6</v>
      </c>
      <c r="E2" s="4">
        <v>2595.6</v>
      </c>
      <c r="F2" s="4">
        <v>2523.6</v>
      </c>
      <c r="G2" s="4">
        <v>2523.6</v>
      </c>
      <c r="H2" s="4">
        <f>SUM(B2:G2)</f>
        <v>15429.6</v>
      </c>
      <c r="I2" s="4">
        <f>H2*1.21</f>
        <v>18669.816</v>
      </c>
    </row>
    <row r="3">
      <c r="A3" s="3" t="s">
        <v>9</v>
      </c>
      <c r="B3" s="4">
        <v>150.0</v>
      </c>
      <c r="C3" s="6">
        <v>150.0</v>
      </c>
      <c r="D3" s="6">
        <v>150.0</v>
      </c>
      <c r="E3" s="6">
        <v>150.0</v>
      </c>
      <c r="F3" s="6">
        <v>150.0</v>
      </c>
      <c r="G3" s="6">
        <v>150.0</v>
      </c>
      <c r="H3" s="4">
        <v>750.0</v>
      </c>
      <c r="I3" s="4">
        <v>750.0</v>
      </c>
    </row>
    <row r="4">
      <c r="A4" s="2" t="s">
        <v>10</v>
      </c>
      <c r="B4" s="4">
        <v>450.0</v>
      </c>
      <c r="C4" s="4">
        <v>450.0</v>
      </c>
      <c r="D4" s="4">
        <v>450.0</v>
      </c>
      <c r="E4" s="4">
        <v>450.0</v>
      </c>
      <c r="F4" s="4">
        <v>450.0</v>
      </c>
      <c r="G4" s="4">
        <v>450.0</v>
      </c>
      <c r="H4" s="4">
        <f>SUM(B4:G4)</f>
        <v>2700</v>
      </c>
      <c r="I4" s="4">
        <f t="shared" ref="I4:I7" si="2">H4*1.21</f>
        <v>3267</v>
      </c>
    </row>
    <row r="5">
      <c r="A5" s="2" t="s">
        <v>11</v>
      </c>
      <c r="B5" s="4">
        <f t="shared" ref="B5:G5" si="1">3000/6</f>
        <v>500</v>
      </c>
      <c r="C5" s="4">
        <f t="shared" si="1"/>
        <v>500</v>
      </c>
      <c r="D5" s="4">
        <f t="shared" si="1"/>
        <v>500</v>
      </c>
      <c r="E5" s="4">
        <f t="shared" si="1"/>
        <v>500</v>
      </c>
      <c r="F5" s="4">
        <f t="shared" si="1"/>
        <v>500</v>
      </c>
      <c r="G5" s="4">
        <f t="shared" si="1"/>
        <v>500</v>
      </c>
      <c r="H5" s="4">
        <v>3000.0</v>
      </c>
      <c r="I5" s="4">
        <f t="shared" si="2"/>
        <v>3630</v>
      </c>
    </row>
    <row r="6">
      <c r="A6" s="2" t="s">
        <v>12</v>
      </c>
      <c r="B6" s="4">
        <f t="shared" ref="B6:G6" si="3">6069/6</f>
        <v>1011.5</v>
      </c>
      <c r="C6" s="4">
        <f t="shared" si="3"/>
        <v>1011.5</v>
      </c>
      <c r="D6" s="4">
        <f t="shared" si="3"/>
        <v>1011.5</v>
      </c>
      <c r="E6" s="4">
        <f t="shared" si="3"/>
        <v>1011.5</v>
      </c>
      <c r="F6" s="4">
        <f t="shared" si="3"/>
        <v>1011.5</v>
      </c>
      <c r="G6" s="4">
        <f t="shared" si="3"/>
        <v>1011.5</v>
      </c>
      <c r="H6" s="4">
        <v>6069.0</v>
      </c>
      <c r="I6" s="4">
        <f t="shared" si="2"/>
        <v>7343.49</v>
      </c>
    </row>
    <row r="7">
      <c r="A7" s="3" t="s">
        <v>13</v>
      </c>
      <c r="B7" s="4">
        <f t="shared" ref="B7:G7" si="4">250</f>
        <v>250</v>
      </c>
      <c r="C7" s="4">
        <f t="shared" si="4"/>
        <v>250</v>
      </c>
      <c r="D7" s="4">
        <f t="shared" si="4"/>
        <v>250</v>
      </c>
      <c r="E7" s="4">
        <f t="shared" si="4"/>
        <v>250</v>
      </c>
      <c r="F7" s="4">
        <f t="shared" si="4"/>
        <v>250</v>
      </c>
      <c r="G7" s="4">
        <f t="shared" si="4"/>
        <v>250</v>
      </c>
      <c r="H7" s="4">
        <v>1500.0</v>
      </c>
      <c r="I7" s="4">
        <f t="shared" si="2"/>
        <v>1815</v>
      </c>
    </row>
    <row r="9">
      <c r="G9" s="2" t="s">
        <v>14</v>
      </c>
      <c r="H9" s="4">
        <f>SUM(H2:H7)</f>
        <v>29448.6</v>
      </c>
      <c r="I9" s="4">
        <f t="shared" ref="I9:I10" si="5">H9*1.21</f>
        <v>35632.806</v>
      </c>
    </row>
    <row r="10">
      <c r="A10" s="7" t="s">
        <v>15</v>
      </c>
      <c r="B10" s="1"/>
      <c r="C10" s="1"/>
      <c r="D10" s="1"/>
      <c r="E10" s="1"/>
      <c r="F10" s="1"/>
      <c r="G10" s="2" t="s">
        <v>16</v>
      </c>
      <c r="H10" s="4">
        <f>H9/6</f>
        <v>4908.1</v>
      </c>
      <c r="I10" s="4">
        <f t="shared" si="5"/>
        <v>5938.801</v>
      </c>
    </row>
    <row r="11">
      <c r="A11" s="7" t="s">
        <v>17</v>
      </c>
      <c r="B11" s="1"/>
      <c r="C11" s="1"/>
      <c r="D11" s="1"/>
      <c r="E11" s="1"/>
      <c r="F11" s="1"/>
    </row>
    <row r="15">
      <c r="B15" s="4"/>
      <c r="C15" s="4"/>
      <c r="D15" s="8" t="s">
        <v>18</v>
      </c>
      <c r="E15" s="4"/>
      <c r="F15" s="8" t="s">
        <v>19</v>
      </c>
      <c r="G15" s="4"/>
    </row>
    <row r="16">
      <c r="D16" s="9" t="s">
        <v>21</v>
      </c>
      <c r="E16" s="10" t="s">
        <v>23</v>
      </c>
    </row>
    <row r="17">
      <c r="D17" s="9" t="s">
        <v>24</v>
      </c>
      <c r="E17" s="10" t="s">
        <v>25</v>
      </c>
    </row>
    <row r="18">
      <c r="B18" s="4"/>
      <c r="C18" s="4"/>
      <c r="D18" s="4"/>
      <c r="E18" s="4"/>
      <c r="F18" s="4"/>
      <c r="G18" s="4"/>
    </row>
    <row r="19">
      <c r="D19" s="9" t="s">
        <v>26</v>
      </c>
    </row>
    <row r="20">
      <c r="D20" s="10" t="s">
        <v>27</v>
      </c>
    </row>
    <row r="21">
      <c r="D21" s="10" t="s">
        <v>28</v>
      </c>
    </row>
    <row r="22">
      <c r="D22" s="10" t="s">
        <v>29</v>
      </c>
    </row>
    <row r="23">
      <c r="D23" s="10" t="s">
        <v>33</v>
      </c>
    </row>
    <row r="24">
      <c r="D24" s="10" t="s">
        <v>34</v>
      </c>
    </row>
    <row r="25">
      <c r="D25" s="10" t="s">
        <v>35</v>
      </c>
    </row>
    <row r="26">
      <c r="D26" s="10" t="s">
        <v>30</v>
      </c>
    </row>
    <row r="27">
      <c r="D27" s="10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6" max="6" width="24.5"/>
    <col customWidth="1" min="8" max="8" width="14.38"/>
    <col customWidth="1" min="9" max="9" width="15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>
      <c r="A2" s="2" t="s">
        <v>8</v>
      </c>
      <c r="B2" s="5">
        <v>1885.0</v>
      </c>
      <c r="C2" s="5">
        <v>1885.0</v>
      </c>
      <c r="D2" s="5">
        <v>1885.0</v>
      </c>
      <c r="E2" s="5">
        <v>1885.0</v>
      </c>
      <c r="F2" s="5">
        <v>1885.0</v>
      </c>
      <c r="G2" s="5">
        <v>1885.0</v>
      </c>
      <c r="H2" s="4">
        <f>SUM(B2:G2)</f>
        <v>11310</v>
      </c>
      <c r="I2" s="4">
        <f>H2*1.21</f>
        <v>13685.1</v>
      </c>
    </row>
    <row r="3">
      <c r="A3" s="3" t="s">
        <v>9</v>
      </c>
      <c r="B3" s="4">
        <v>150.0</v>
      </c>
      <c r="C3" s="6">
        <v>150.0</v>
      </c>
      <c r="D3" s="6">
        <v>150.0</v>
      </c>
      <c r="E3" s="6">
        <v>150.0</v>
      </c>
      <c r="F3" s="6">
        <v>150.0</v>
      </c>
      <c r="G3" s="6">
        <v>150.0</v>
      </c>
      <c r="H3" s="4">
        <v>750.0</v>
      </c>
      <c r="I3" s="4">
        <v>750.0</v>
      </c>
    </row>
    <row r="4">
      <c r="A4" s="2" t="s">
        <v>10</v>
      </c>
      <c r="B4" s="4">
        <v>450.0</v>
      </c>
      <c r="C4" s="4">
        <v>450.0</v>
      </c>
      <c r="D4" s="4">
        <v>450.0</v>
      </c>
      <c r="E4" s="4">
        <v>450.0</v>
      </c>
      <c r="F4" s="4">
        <v>450.0</v>
      </c>
      <c r="G4" s="4">
        <v>450.0</v>
      </c>
      <c r="H4" s="4">
        <f>SUM(B4:G4)</f>
        <v>2700</v>
      </c>
      <c r="I4" s="4">
        <f t="shared" ref="I4:I7" si="2">H4*1.21</f>
        <v>3267</v>
      </c>
    </row>
    <row r="5">
      <c r="A5" s="2" t="s">
        <v>11</v>
      </c>
      <c r="B5" s="4">
        <f t="shared" ref="B5:G5" si="1">3000/6</f>
        <v>500</v>
      </c>
      <c r="C5" s="4">
        <f t="shared" si="1"/>
        <v>500</v>
      </c>
      <c r="D5" s="4">
        <f t="shared" si="1"/>
        <v>500</v>
      </c>
      <c r="E5" s="4">
        <f t="shared" si="1"/>
        <v>500</v>
      </c>
      <c r="F5" s="4">
        <f t="shared" si="1"/>
        <v>500</v>
      </c>
      <c r="G5" s="4">
        <f t="shared" si="1"/>
        <v>500</v>
      </c>
      <c r="H5" s="4">
        <v>3000.0</v>
      </c>
      <c r="I5" s="4">
        <f t="shared" si="2"/>
        <v>3630</v>
      </c>
    </row>
    <row r="6">
      <c r="A6" s="2" t="s">
        <v>12</v>
      </c>
      <c r="B6" s="4">
        <f t="shared" ref="B6:G6" si="3">6069/6</f>
        <v>1011.5</v>
      </c>
      <c r="C6" s="4">
        <f t="shared" si="3"/>
        <v>1011.5</v>
      </c>
      <c r="D6" s="4">
        <f t="shared" si="3"/>
        <v>1011.5</v>
      </c>
      <c r="E6" s="4">
        <f t="shared" si="3"/>
        <v>1011.5</v>
      </c>
      <c r="F6" s="4">
        <f t="shared" si="3"/>
        <v>1011.5</v>
      </c>
      <c r="G6" s="4">
        <f t="shared" si="3"/>
        <v>1011.5</v>
      </c>
      <c r="H6" s="4">
        <v>6069.0</v>
      </c>
      <c r="I6" s="4">
        <f t="shared" si="2"/>
        <v>7343.49</v>
      </c>
    </row>
    <row r="7">
      <c r="A7" s="3" t="s">
        <v>13</v>
      </c>
      <c r="B7" s="4">
        <f t="shared" ref="B7:G7" si="4">250</f>
        <v>250</v>
      </c>
      <c r="C7" s="4">
        <f t="shared" si="4"/>
        <v>250</v>
      </c>
      <c r="D7" s="4">
        <f t="shared" si="4"/>
        <v>250</v>
      </c>
      <c r="E7" s="4">
        <f t="shared" si="4"/>
        <v>250</v>
      </c>
      <c r="F7" s="4">
        <f t="shared" si="4"/>
        <v>250</v>
      </c>
      <c r="G7" s="4">
        <f t="shared" si="4"/>
        <v>250</v>
      </c>
      <c r="H7" s="4">
        <v>1500.0</v>
      </c>
      <c r="I7" s="4">
        <f t="shared" si="2"/>
        <v>1815</v>
      </c>
    </row>
    <row r="9">
      <c r="G9" s="2" t="s">
        <v>14</v>
      </c>
      <c r="H9" s="4">
        <f>SUM(H2:H7)</f>
        <v>25329</v>
      </c>
      <c r="I9" s="4">
        <f t="shared" ref="I9:I10" si="5">H9*1.21</f>
        <v>30648.09</v>
      </c>
    </row>
    <row r="10">
      <c r="A10" s="7" t="s">
        <v>15</v>
      </c>
      <c r="B10" s="1"/>
      <c r="C10" s="1"/>
      <c r="D10" s="1"/>
      <c r="E10" s="1"/>
      <c r="F10" s="1"/>
      <c r="G10" s="2" t="s">
        <v>16</v>
      </c>
      <c r="H10" s="4">
        <f>H9/6</f>
        <v>4221.5</v>
      </c>
      <c r="I10" s="4">
        <f t="shared" si="5"/>
        <v>5108.015</v>
      </c>
    </row>
    <row r="11">
      <c r="A11" s="7" t="s">
        <v>17</v>
      </c>
      <c r="B11" s="1"/>
      <c r="C11" s="1"/>
      <c r="D11" s="1"/>
      <c r="E11" s="1"/>
      <c r="F11" s="1"/>
    </row>
    <row r="15">
      <c r="B15" s="4"/>
      <c r="C15" s="4"/>
      <c r="D15" s="4"/>
      <c r="E15" s="8" t="s">
        <v>18</v>
      </c>
      <c r="F15" s="4"/>
      <c r="G15" s="8" t="s">
        <v>20</v>
      </c>
    </row>
    <row r="16">
      <c r="E16" s="9" t="s">
        <v>21</v>
      </c>
      <c r="F16" s="10" t="s">
        <v>22</v>
      </c>
    </row>
    <row r="17">
      <c r="E17" s="9" t="s">
        <v>24</v>
      </c>
      <c r="F17" s="10" t="s">
        <v>25</v>
      </c>
    </row>
    <row r="18">
      <c r="B18" s="4"/>
      <c r="C18" s="4"/>
      <c r="D18" s="4"/>
      <c r="E18" s="4"/>
      <c r="F18" s="4"/>
      <c r="G18" s="4"/>
    </row>
    <row r="19">
      <c r="E19" s="9" t="s">
        <v>26</v>
      </c>
    </row>
    <row r="20">
      <c r="E20" s="10" t="s">
        <v>27</v>
      </c>
    </row>
    <row r="21">
      <c r="E21" s="10" t="s">
        <v>28</v>
      </c>
    </row>
    <row r="22">
      <c r="E22" s="10" t="s">
        <v>29</v>
      </c>
    </row>
    <row r="23">
      <c r="E23" s="10" t="s">
        <v>30</v>
      </c>
    </row>
    <row r="24">
      <c r="E24" s="10" t="s">
        <v>31</v>
      </c>
    </row>
    <row r="25">
      <c r="E25" s="10" t="s">
        <v>32</v>
      </c>
    </row>
  </sheetData>
  <drawing r:id="rId1"/>
</worksheet>
</file>